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D1C537B-E38A-612A-F078-A93A15B4B7F4}"/>
  <workbookPr showInkAnnotation="0" codeName="ThisWorkbook"/>
  <mc:AlternateContent xmlns:mc="http://schemas.openxmlformats.org/markup-compatibility/2006">
    <mc:Choice Requires="x15">
      <x15ac:absPath xmlns:x15ac="http://schemas.microsoft.com/office/spreadsheetml/2010/11/ac" url="C:\code\portal\Spreadsheets\PIP\"/>
    </mc:Choice>
  </mc:AlternateContent>
  <bookViews>
    <workbookView xWindow="49596" yWindow="-4740" windowWidth="21600" windowHeight="11388" activeTab="2"/>
  </bookViews>
  <sheets>
    <sheet name="1. Results Dashboard" sheetId="11" r:id="rId1"/>
    <sheet name="P1 - 2. Tombstone Data" sheetId="1" r:id="rId2"/>
    <sheet name="P2 - 3. Indicators &amp; Results" sheetId="13" r:id="rId3"/>
    <sheet name="4. Experimentation" sheetId="21" r:id="rId4"/>
    <sheet name="Evaluation" sheetId="14" r:id="rId5"/>
    <sheet name="P1 -5. Supp. Information Tables" sheetId="15" r:id="rId6"/>
    <sheet name="6. GBA+" sheetId="23" r:id="rId7"/>
    <sheet name="Mid-Year Update &amp;Target Setting" sheetId="8" r:id="rId8"/>
    <sheet name="Placeholder - Risk" sheetId="4" r:id="rId9"/>
    <sheet name="Change log" sheetId="20" r:id="rId10"/>
    <sheet name="Drop Downs" sheetId="2" r:id="rId11"/>
  </sheets>
  <externalReferences>
    <externalReference r:id="rId12"/>
    <externalReference r:id="rId13"/>
    <externalReference r:id="rId14"/>
  </externalReferences>
  <definedNames>
    <definedName name="_xlnm._FilterDatabase" localSheetId="2" hidden="1">'P2 - 3. Indicators &amp; Results'!$A$2:$AD$2</definedName>
    <definedName name="Branch">'Drop Downs'!$H$3:$H$22</definedName>
    <definedName name="Core_Responsibility" localSheetId="3">'[1]Drop Downs'!$B$47:$B$53</definedName>
    <definedName name="Core_Responsibility" localSheetId="6">'[2]Drop Downs'!$B$48:$B$54</definedName>
    <definedName name="Core_Responsibility" localSheetId="4">'[1]Drop Downs'!$B$47:$B$53</definedName>
    <definedName name="Core_Responsibility" localSheetId="5">'[1]Drop Downs'!$B$47:$B$53</definedName>
    <definedName name="Core_Responsibility">'Drop Downs'!$A$48:$A$54</definedName>
    <definedName name="CoreResponsibility1">'Drop Downs'!$A$58:$A$61</definedName>
    <definedName name="CoreResponsibility1x">'Drop Downs'!$A$271:$A$274</definedName>
    <definedName name="CoreResponsibility2">'Drop Downs'!$A$63:$A$66</definedName>
    <definedName name="CoreResponsibility2x">'Drop Downs'!$A$275:$A$279</definedName>
    <definedName name="CoreResponsibility3">'Drop Downs'!$A$68:$A$72</definedName>
    <definedName name="CoreResponsibility3x">'Drop Downs'!$A$280:$A$284</definedName>
    <definedName name="CoreResponsibility4">'Drop Downs'!$A$75:$A$77</definedName>
    <definedName name="CoreResponsibility5">'Drop Downs'!$A$79:$A$81</definedName>
    <definedName name="Data_Competencies" localSheetId="3">'Drop Downs'!#REF!</definedName>
    <definedName name="Data_Competencies" localSheetId="6">'[2]Drop Downs'!#REF!</definedName>
    <definedName name="Data_Competencies">'Drop Downs'!#REF!</definedName>
    <definedName name="Data_Type" localSheetId="3">'[1]Drop Downs'!$B$27:$B$33</definedName>
    <definedName name="Data_Type" localSheetId="4">'[1]Drop Downs'!$B$27:$B$33</definedName>
    <definedName name="Data_Type" localSheetId="5">'[1]Drop Downs'!$B$27:$B$33</definedName>
    <definedName name="Data_Type">'Drop Downs'!$A$28:$A$34</definedName>
    <definedName name="Frequency" localSheetId="3">'[1]Drop Downs'!$B$15:$B$24</definedName>
    <definedName name="Frequency" localSheetId="6">'[2]Drop Downs'!$B$16:$B$25</definedName>
    <definedName name="Frequency" localSheetId="4">'[1]Drop Downs'!$B$15:$B$24</definedName>
    <definedName name="Frequency" localSheetId="5">'[1]Drop Downs'!$B$15:$B$24</definedName>
    <definedName name="Frequency">'Drop Downs'!$A$16:$A$25</definedName>
    <definedName name="GocOutcomeAreas" localSheetId="3">'[1]Drop Downs'!$G$57:$G$62</definedName>
    <definedName name="GocOutcomeAreas" localSheetId="4">'[1]Drop Downs'!$G$57:$G$62</definedName>
    <definedName name="GocOutcomeAreas" localSheetId="5">'[1]Drop Downs'!$G$57:$G$62</definedName>
    <definedName name="GocOutcomeAreas">'Drop Downs'!$F$57:$F$62</definedName>
    <definedName name="Horizontal" localSheetId="3">'[1]Drop Downs'!$I$25:$I$56</definedName>
    <definedName name="Horizontal" localSheetId="4">'[1]Drop Downs'!$I$25:$I$56</definedName>
    <definedName name="Horizontal" localSheetId="5">'[1]Drop Downs'!$I$25:$I$56</definedName>
    <definedName name="Horizontal">'Drop Downs'!$H$25:$H$56</definedName>
    <definedName name="Intervention_Type" localSheetId="3">'[1]Drop Downs'!$B$36:$B$44</definedName>
    <definedName name="Intervention_Type" localSheetId="6">'[2]Drop Downs'!$B$37:$B$45</definedName>
    <definedName name="Intervention_Type" localSheetId="4">'[1]Drop Downs'!$B$36:$B$44</definedName>
    <definedName name="Intervention_Type" localSheetId="5">'[1]Drop Downs'!$B$36:$B$44</definedName>
    <definedName name="Intervention_Type">'Drop Downs'!$A$37:$A$45</definedName>
    <definedName name="k" localSheetId="6">'[3]Drop Downs'!#REF!</definedName>
    <definedName name="k">'Drop Downs'!#REF!</definedName>
    <definedName name="Mandate_Letter">'Drop Downs'!$F$3:$F$50</definedName>
    <definedName name="_xlnm.Print_Area" localSheetId="3">'4. Experimentation'!$A$1:$P$24</definedName>
    <definedName name="_xlnm.Print_Area" localSheetId="6">'6. GBA+'!$A$1:$J$23</definedName>
    <definedName name="_xlnm.Print_Area" localSheetId="9">'Change log'!$A$1:$E$14</definedName>
    <definedName name="_xlnm.Print_Area" localSheetId="4">Evaluation!$A$1:$O$17</definedName>
    <definedName name="_xlnm.Print_Area" localSheetId="7">'Mid-Year Update &amp;Target Setting'!$A$1:$F$29</definedName>
    <definedName name="_xlnm.Print_Area" localSheetId="1">'P1 - 2. Tombstone Data'!$B$1:$J$52</definedName>
    <definedName name="_xlnm.Print_Area" localSheetId="5">'P1 -5. Supp. Information Tables'!$A$1:$D$9</definedName>
    <definedName name="_xlnm.Print_Area" localSheetId="2">'P2 - 3. Indicators &amp; Results'!$A$1:$AD$109</definedName>
    <definedName name="_xlnm.Print_Titles" localSheetId="2">'P2 - 3. Indicators &amp; Results'!$1:$2</definedName>
    <definedName name="Risk_category" localSheetId="3">'[1]Drop Downs'!$B$92:$B$110</definedName>
    <definedName name="Risk_category" localSheetId="6">'[2]Drop Downs'!#REF!</definedName>
    <definedName name="Risk_category" localSheetId="4">'[1]Drop Downs'!$B$92:$B$110</definedName>
    <definedName name="Risk_category" localSheetId="5">'[1]Drop Downs'!$B$92:$B$110</definedName>
    <definedName name="Risk_category">'Drop Downs'!#REF!</definedName>
    <definedName name="Risk_Level" localSheetId="3">'[1]Drop Downs'!$B$120:$B$124</definedName>
    <definedName name="Risk_Level" localSheetId="6">'[2]Drop Downs'!#REF!</definedName>
    <definedName name="Risk_Level" localSheetId="4">'[1]Drop Downs'!$B$120:$B$124</definedName>
    <definedName name="Risk_Level" localSheetId="5">'[1]Drop Downs'!$B$120:$B$124</definedName>
    <definedName name="Risk_Level">'Drop Downs'!#REF!</definedName>
    <definedName name="Risk_Likelihood" localSheetId="3">'[1]Drop Downs'!$B$113:$B$117</definedName>
    <definedName name="Risk_Likelihood" localSheetId="6">'[2]Drop Downs'!#REF!</definedName>
    <definedName name="Risk_Likelihood" localSheetId="4">'[1]Drop Downs'!$B$113:$B$117</definedName>
    <definedName name="Risk_Likelihood" localSheetId="5">'[1]Drop Downs'!$B$113:$B$117</definedName>
    <definedName name="Risk_Likelihood">'Drop Downs'!#REF!</definedName>
    <definedName name="Risk_Timeline" localSheetId="3">'[1]Drop Downs'!$B$145:$B$148</definedName>
    <definedName name="Risk_Timeline" localSheetId="6">'[2]Drop Downs'!#REF!</definedName>
    <definedName name="Risk_Timeline" localSheetId="4">'[1]Drop Downs'!$B$145:$B$148</definedName>
    <definedName name="Risk_Timeline" localSheetId="5">'[1]Drop Downs'!$B$145:$B$148</definedName>
    <definedName name="Risk_Timeline">'Drop Downs'!#REF!</definedName>
    <definedName name="Risk_Tolerance" localSheetId="3">'[1]Drop Downs'!$B$151:$B$155</definedName>
    <definedName name="Risk_Tolerance" localSheetId="6">'[2]Drop Downs'!#REF!</definedName>
    <definedName name="Risk_Tolerance" localSheetId="4">'[1]Drop Downs'!$B$151:$B$155</definedName>
    <definedName name="Risk_Tolerance" localSheetId="5">'[1]Drop Downs'!$B$151:$B$155</definedName>
    <definedName name="Risk_Tolerance">'Drop Downs'!#REF!</definedName>
    <definedName name="RiskTimeline2" localSheetId="6">'[3]Drop Downs'!#REF!</definedName>
    <definedName name="RiskTimeline2">'Drop Downs'!#REF!</definedName>
    <definedName name="Target_Groups" localSheetId="3">'[1]Drop Downs'!$E$3:$E$85</definedName>
    <definedName name="Target_Groups" localSheetId="6">'[2]Drop Downs'!$E$3:$E$85</definedName>
    <definedName name="Target_Groups" localSheetId="4">'[1]Drop Downs'!$E$3:$E$85</definedName>
    <definedName name="Target_Groups" localSheetId="5">'[1]Drop Downs'!$E$3:$E$85</definedName>
    <definedName name="Target_Groups">'Drop Downs'!$D$3:$D$85</definedName>
    <definedName name="TB_SKHPI" localSheetId="3">'[1]Drop Downs'!$B$5:$B$10</definedName>
    <definedName name="TB_SKHPI" localSheetId="4">'[1]Drop Downs'!$B$5:$B$10</definedName>
    <definedName name="TB_SKHPI" localSheetId="5">'[1]Drop Downs'!$B$5:$B$10</definedName>
    <definedName name="TB_SKHPI">'Drop Downs'!$A$5:$A$11</definedName>
    <definedName name="Z_C027A51B_3846_42F2_87D7_90F43FA3A501_.wvu.Cols" localSheetId="1" hidden="1">'P1 - 2. Tombstone Data'!$N:$T</definedName>
    <definedName name="Z_C027A51B_3846_42F2_87D7_90F43FA3A501_.wvu.PrintArea" localSheetId="1" hidden="1">'P1 - 2. Tombstone Data'!$B$1:$J$51</definedName>
  </definedNames>
  <calcPr calcId="162913"/>
  <customWorkbookViews>
    <customWorkbookView name="Chris Desjardins - Personal View" guid="{C027A51B-3846-42F2-87D7-90F43FA3A501}" mergeInterval="0" personalView="1" maximized="1" windowWidth="1680" windowHeight="82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1" i="2" l="1"/>
  <c r="B252" i="2"/>
  <c r="B253" i="2"/>
  <c r="B254" i="2"/>
  <c r="B255" i="2"/>
  <c r="B256" i="2"/>
  <c r="B257" i="2"/>
  <c r="B258" i="2"/>
  <c r="B259" i="2"/>
  <c r="B260" i="2"/>
  <c r="B261" i="2"/>
  <c r="B262" i="2"/>
  <c r="B263" i="2"/>
  <c r="B264" i="2"/>
  <c r="B265" i="2"/>
  <c r="B266" i="2"/>
  <c r="B267" i="2"/>
  <c r="B250"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166" i="2"/>
  <c r="B165" i="2"/>
  <c r="B164" i="2"/>
  <c r="B163" i="2"/>
  <c r="B162" i="2"/>
  <c r="B161" i="2"/>
  <c r="B160" i="2"/>
  <c r="B159" i="2"/>
  <c r="B46" i="2"/>
  <c r="B45" i="2"/>
  <c r="B44" i="2"/>
  <c r="B43" i="2"/>
  <c r="B42" i="2"/>
  <c r="B41" i="2"/>
  <c r="B40" i="2"/>
  <c r="B39" i="2"/>
  <c r="B38" i="2"/>
  <c r="I41" i="2"/>
  <c r="I40" i="2"/>
  <c r="I39" i="2"/>
  <c r="I38" i="2"/>
  <c r="I37" i="2"/>
  <c r="I36" i="2"/>
  <c r="I35" i="2"/>
  <c r="I34" i="2"/>
  <c r="I33" i="2"/>
  <c r="I32" i="2"/>
  <c r="I31" i="2"/>
  <c r="I30" i="2"/>
  <c r="I29" i="2"/>
  <c r="I28" i="2"/>
  <c r="I27" i="2"/>
  <c r="I26"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4" i="2"/>
  <c r="B140" i="2"/>
  <c r="B141" i="2"/>
  <c r="B142" i="2"/>
  <c r="B143" i="2"/>
  <c r="B144" i="2"/>
  <c r="B145" i="2"/>
  <c r="B146" i="2"/>
  <c r="B147" i="2"/>
  <c r="B148" i="2"/>
  <c r="B149" i="2"/>
  <c r="B150" i="2"/>
  <c r="B151" i="2"/>
  <c r="B152" i="2"/>
  <c r="B153" i="2"/>
  <c r="B154" i="2"/>
  <c r="B155" i="2"/>
  <c r="B139" i="2"/>
  <c r="B138" i="2"/>
  <c r="B137" i="2"/>
  <c r="B136" i="2"/>
  <c r="B135" i="2"/>
  <c r="B134" i="2"/>
  <c r="B133" i="2"/>
  <c r="B132" i="2"/>
  <c r="B131" i="2"/>
  <c r="B130" i="2"/>
  <c r="B129" i="2"/>
  <c r="B128" i="2"/>
  <c r="B127" i="2"/>
  <c r="B126" i="2"/>
  <c r="B125" i="2"/>
  <c r="B124" i="2"/>
  <c r="B123" i="2"/>
  <c r="B304" i="2"/>
  <c r="B303" i="2"/>
  <c r="B302" i="2"/>
  <c r="B301" i="2"/>
  <c r="B300" i="2"/>
  <c r="B299" i="2"/>
  <c r="B298" i="2"/>
  <c r="B297" i="2"/>
  <c r="B296" i="2"/>
  <c r="B295" i="2"/>
  <c r="B294" i="2"/>
  <c r="B293" i="2"/>
  <c r="B292" i="2"/>
  <c r="B291" i="2"/>
  <c r="B290" i="2"/>
  <c r="B289" i="2"/>
  <c r="B288" i="2"/>
  <c r="C284" i="2"/>
  <c r="C283" i="2"/>
  <c r="C282" i="2"/>
  <c r="C281" i="2"/>
  <c r="C280" i="2"/>
  <c r="C279" i="2"/>
  <c r="C278" i="2"/>
  <c r="C277" i="2"/>
  <c r="C276" i="2"/>
  <c r="C275" i="2"/>
  <c r="C274" i="2"/>
  <c r="C273" i="2"/>
  <c r="C272" i="2"/>
  <c r="C271" i="2"/>
  <c r="F4" i="1"/>
  <c r="B71" i="2"/>
  <c r="B70" i="2"/>
  <c r="B69" i="2"/>
  <c r="B66" i="2"/>
  <c r="B65" i="2"/>
  <c r="B64" i="2"/>
  <c r="B61" i="2"/>
  <c r="B60" i="2"/>
  <c r="B59" i="2"/>
</calcChain>
</file>

<file path=xl/comments1.xml><?xml version="1.0" encoding="utf-8"?>
<comments xmlns="http://schemas.openxmlformats.org/spreadsheetml/2006/main">
  <authors>
    <author>Gaysek, Alexandra</author>
  </authors>
  <commentList>
    <comment ref="B46" authorId="0" shapeId="0">
      <text>
        <r>
          <rPr>
            <b/>
            <sz val="9"/>
            <color indexed="81"/>
            <rFont val="Tahoma"/>
            <family val="2"/>
          </rPr>
          <t>Gaysek, Alexandra:</t>
        </r>
        <r>
          <rPr>
            <sz val="9"/>
            <color indexed="81"/>
            <rFont val="Tahoma"/>
            <family val="2"/>
          </rPr>
          <t xml:space="preserve">
This is for the Classification of Functions of Government. 
We will give you the list for this. </t>
        </r>
      </text>
    </comment>
    <comment ref="B47" authorId="0" shapeId="0">
      <text>
        <r>
          <rPr>
            <b/>
            <sz val="9"/>
            <color indexed="81"/>
            <rFont val="Tahoma"/>
            <family val="2"/>
          </rPr>
          <t>We are open to your recommendations on how to enter/present the logic model.</t>
        </r>
      </text>
    </comment>
  </commentList>
</comments>
</file>

<file path=xl/comments2.xml><?xml version="1.0" encoding="utf-8"?>
<comments xmlns="http://schemas.openxmlformats.org/spreadsheetml/2006/main">
  <authors>
    <author>Gaysek, Alexandra</author>
  </authors>
  <commentList>
    <comment ref="H2" authorId="0" shapeId="0">
      <text>
        <r>
          <rPr>
            <b/>
            <sz val="9"/>
            <color indexed="81"/>
            <rFont val="Tahoma"/>
            <family val="2"/>
          </rPr>
          <t>Gaysek, Alexandra:</t>
        </r>
        <r>
          <rPr>
            <sz val="9"/>
            <color indexed="81"/>
            <rFont val="Tahoma"/>
            <family val="2"/>
          </rPr>
          <t xml:space="preserve">
Need drop down for Indicator Category for: quantitative and qualitative </t>
        </r>
      </text>
    </comment>
    <comment ref="I2" authorId="0" shapeId="0">
      <text>
        <r>
          <rPr>
            <b/>
            <sz val="9"/>
            <color indexed="81"/>
            <rFont val="Tahoma"/>
            <family val="2"/>
          </rPr>
          <t>Gaysek, Alexandra:</t>
        </r>
        <r>
          <rPr>
            <sz val="9"/>
            <color indexed="81"/>
            <rFont val="Tahoma"/>
            <family val="2"/>
          </rPr>
          <t xml:space="preserve">
Need drop down for: 
Increase
Maintain
Decrease</t>
        </r>
      </text>
    </comment>
    <comment ref="J2" authorId="0" shapeId="0">
      <text>
        <r>
          <rPr>
            <b/>
            <sz val="9"/>
            <color indexed="81"/>
            <rFont val="Tahoma"/>
            <family val="2"/>
          </rPr>
          <t>Gaysek, Alexandra:</t>
        </r>
        <r>
          <rPr>
            <sz val="9"/>
            <color indexed="81"/>
            <rFont val="Tahoma"/>
            <family val="2"/>
          </rPr>
          <t xml:space="preserve">
Need drop down for progressive
aggregate
</t>
        </r>
      </text>
    </comment>
    <comment ref="O2" authorId="0" shapeId="0">
      <text>
        <r>
          <rPr>
            <b/>
            <sz val="9"/>
            <color indexed="81"/>
            <rFont val="Tahoma"/>
            <family val="2"/>
          </rPr>
          <t>Gaysek, Alexandra:</t>
        </r>
        <r>
          <rPr>
            <sz val="9"/>
            <color indexed="81"/>
            <rFont val="Tahoma"/>
            <family val="2"/>
          </rPr>
          <t xml:space="preserve">
Edit drop downs to be number
percent
dollar (CDN)</t>
        </r>
      </text>
    </comment>
    <comment ref="U2" authorId="0" shapeId="0">
      <text>
        <r>
          <rPr>
            <b/>
            <sz val="9"/>
            <color indexed="81"/>
            <rFont val="Tahoma"/>
            <family val="2"/>
          </rPr>
          <t>Gaysek, Alexandra:</t>
        </r>
        <r>
          <rPr>
            <sz val="9"/>
            <color indexed="81"/>
            <rFont val="Tahoma"/>
            <family val="2"/>
          </rPr>
          <t xml:space="preserve">
Need drop down:
- Minimum value (at least)
- maximum value (at most)
- closed range
- exact (single) value</t>
        </r>
      </text>
    </comment>
  </commentList>
</comments>
</file>

<file path=xl/comments3.xml><?xml version="1.0" encoding="utf-8"?>
<comments xmlns="http://schemas.openxmlformats.org/spreadsheetml/2006/main">
  <authors>
    <author>Gaysek, Alexandra</author>
  </authors>
  <commentList>
    <comment ref="A9" authorId="0" shapeId="0">
      <text>
        <r>
          <rPr>
            <b/>
            <sz val="9"/>
            <color indexed="81"/>
            <rFont val="Tahoma"/>
            <family val="2"/>
          </rPr>
          <t>Gaysek, Alexandra:</t>
        </r>
        <r>
          <rPr>
            <sz val="9"/>
            <color indexed="81"/>
            <rFont val="Tahoma"/>
            <family val="2"/>
          </rPr>
          <t xml:space="preserve">
If this is a ton of work to program in, we can delete this section as it is not pivotal. </t>
        </r>
      </text>
    </comment>
  </commentList>
</comments>
</file>

<file path=xl/comments4.xml><?xml version="1.0" encoding="utf-8"?>
<comments xmlns="http://schemas.openxmlformats.org/spreadsheetml/2006/main">
  <authors>
    <author>Stephanie Kalt</author>
  </authors>
  <commentList>
    <comment ref="K9" authorId="0" shapeId="0">
      <text>
        <r>
          <rPr>
            <sz val="9"/>
            <color indexed="81"/>
            <rFont val="Tahoma"/>
            <family val="2"/>
          </rPr>
          <t>Insert current status - complete or in progress.</t>
        </r>
      </text>
    </comment>
    <comment ref="L9" authorId="0" shapeId="0">
      <text>
        <r>
          <rPr>
            <sz val="9"/>
            <color indexed="81"/>
            <rFont val="Tahoma"/>
            <family val="2"/>
          </rPr>
          <t>Insert actual or expected approval date.</t>
        </r>
      </text>
    </comment>
  </commentList>
</comments>
</file>

<file path=xl/comments5.xml><?xml version="1.0" encoding="utf-8"?>
<comments xmlns="http://schemas.openxmlformats.org/spreadsheetml/2006/main">
  <authors>
    <author>Gaysek, Alexandra</author>
    <author>Basu, Madhavi</author>
  </authors>
  <commentList>
    <comment ref="A1" authorId="0" shapeId="0">
      <text>
        <r>
          <rPr>
            <b/>
            <sz val="9"/>
            <color indexed="81"/>
            <rFont val="Tahoma"/>
            <family val="2"/>
          </rPr>
          <t>Gaysek, Alexandra:</t>
        </r>
        <r>
          <rPr>
            <sz val="9"/>
            <color indexed="81"/>
            <rFont val="Tahoma"/>
            <family val="2"/>
          </rPr>
          <t xml:space="preserve">
Note that we will be collecting this data, but not exactly in this format.</t>
        </r>
      </text>
    </comment>
    <comment ref="A3" authorId="1" shapeId="0">
      <text>
        <r>
          <rPr>
            <b/>
            <sz val="9"/>
            <color indexed="81"/>
            <rFont val="Tahoma"/>
            <family val="2"/>
          </rPr>
          <t>Information in this section is from 2019-20 Departmental Plan and cannot be amended</t>
        </r>
      </text>
    </comment>
    <comment ref="A22" authorId="1" shapeId="0">
      <text>
        <r>
          <rPr>
            <b/>
            <sz val="9"/>
            <color indexed="81"/>
            <rFont val="Tahoma"/>
            <family val="2"/>
          </rPr>
          <t>The level of performance the Program plans to achieve during 2021-22 fiscal year.</t>
        </r>
      </text>
    </comment>
  </commentList>
</comments>
</file>

<file path=xl/sharedStrings.xml><?xml version="1.0" encoding="utf-8"?>
<sst xmlns="http://schemas.openxmlformats.org/spreadsheetml/2006/main" count="806" uniqueCount="548">
  <si>
    <t>Name</t>
  </si>
  <si>
    <t>Frequency</t>
  </si>
  <si>
    <t>Data Owner</t>
  </si>
  <si>
    <t>- Menu Select -</t>
  </si>
  <si>
    <t>Target Group Tags</t>
  </si>
  <si>
    <t>Intervention Type Tags</t>
  </si>
  <si>
    <t>Branch</t>
  </si>
  <si>
    <t>Core Responsibilities</t>
  </si>
  <si>
    <t>1 - Children</t>
  </si>
  <si>
    <t>2 - Youth</t>
  </si>
  <si>
    <t>3 - Seniors</t>
  </si>
  <si>
    <t>4 - Families</t>
  </si>
  <si>
    <t>5 - Women</t>
  </si>
  <si>
    <t>6 - Indigenous people</t>
  </si>
  <si>
    <t>7 - Disabled persons</t>
  </si>
  <si>
    <t>8 - Students</t>
  </si>
  <si>
    <t>9 - Detained and/or formerly incarcerated individuals</t>
  </si>
  <si>
    <t>10 - Violators of regulations and/or laws</t>
  </si>
  <si>
    <t>11 - Victims</t>
  </si>
  <si>
    <t>12 - Military personnel</t>
  </si>
  <si>
    <t>13 - Veterans</t>
  </si>
  <si>
    <t>14 - Workers</t>
  </si>
  <si>
    <t>15 - Voters</t>
  </si>
  <si>
    <t>16 - Consumers</t>
  </si>
  <si>
    <t>17 - Unemployed</t>
  </si>
  <si>
    <t>18 - Low-income individuals and/or families</t>
  </si>
  <si>
    <t>19 - Scientific researchers</t>
  </si>
  <si>
    <t>20 - Socio-economic researchers</t>
  </si>
  <si>
    <t>21 - Health care professionals</t>
  </si>
  <si>
    <t>22 - Law enforcement officials</t>
  </si>
  <si>
    <t>23 - Legal professionals</t>
  </si>
  <si>
    <t>24 - Artists and/or performers</t>
  </si>
  <si>
    <t>25 - Athletes and/or coaches</t>
  </si>
  <si>
    <t>26 - Farmers</t>
  </si>
  <si>
    <t>27 - Members of Parliament</t>
  </si>
  <si>
    <t>28 - Language minorities</t>
  </si>
  <si>
    <t>29 - Canadians travelling, working, studying, and/or living abroad</t>
  </si>
  <si>
    <t>30 - Immigrants and/or refugees</t>
  </si>
  <si>
    <t>31 - International students</t>
  </si>
  <si>
    <t>32 - Tourists and/or foreign visitors</t>
  </si>
  <si>
    <t>33 - Foreign and/or migrant workers</t>
  </si>
  <si>
    <t>34 - Foreign investors and/or foreign entrepreneurs</t>
  </si>
  <si>
    <t>35 - General public</t>
  </si>
  <si>
    <t>36 - Dependants of Military and Law Enforcement Veterans</t>
  </si>
  <si>
    <t>37 - Non-governmental organizations (NGO)</t>
  </si>
  <si>
    <t>38 - Health care and/or social assistance sectors</t>
  </si>
  <si>
    <t>39 - Heritage institutions</t>
  </si>
  <si>
    <t>40 - Colleges and/or universities</t>
  </si>
  <si>
    <t>41 - Agriculture industry</t>
  </si>
  <si>
    <t>42 - Forestry industry</t>
  </si>
  <si>
    <t>43 - Mining, and/or oil &amp; gas exploration industries</t>
  </si>
  <si>
    <t>44 - Energy and/or utilities sector</t>
  </si>
  <si>
    <t>45 - Manufacturing industry</t>
  </si>
  <si>
    <t>46 - Import / export sectors</t>
  </si>
  <si>
    <t>47 - Retail industry</t>
  </si>
  <si>
    <t>48 - Transportation industry</t>
  </si>
  <si>
    <t>49 - Movie, television, and/or publishing sectors</t>
  </si>
  <si>
    <t>50 - Telecommunications sector</t>
  </si>
  <si>
    <t>51 - Science and technology industry</t>
  </si>
  <si>
    <t>52 - Finance and/or insurance sectors</t>
  </si>
  <si>
    <t>53 - Housing sector</t>
  </si>
  <si>
    <t>54 - Sports and/or recreation industry</t>
  </si>
  <si>
    <t>55 - Hospitality and/or food services industry</t>
  </si>
  <si>
    <t>56 - Training and/or educational sectors</t>
  </si>
  <si>
    <t>57 - Performing arts sector</t>
  </si>
  <si>
    <t>58 - Infrastructure</t>
  </si>
  <si>
    <t>59 - Indigenous/northern businesses</t>
  </si>
  <si>
    <t>60 - Small and Medium Enterprises</t>
  </si>
  <si>
    <t>61 - Large sized businesses</t>
  </si>
  <si>
    <t>62 - Families in developing countries / regions</t>
  </si>
  <si>
    <t>63 - Private sector / businesses in developing countries / regions</t>
  </si>
  <si>
    <t>64 - Civil society in developing countries / regions</t>
  </si>
  <si>
    <t>65 - International organizations and/or alliances</t>
  </si>
  <si>
    <t>66 - Foreign governments</t>
  </si>
  <si>
    <t>67 - Provincial &amp; territorial governments</t>
  </si>
  <si>
    <t>68 - Urban communities</t>
  </si>
  <si>
    <t>69 - Rural communities</t>
  </si>
  <si>
    <t>70 - Northern communities</t>
  </si>
  <si>
    <t>71 - Local and/or regional communities</t>
  </si>
  <si>
    <t>72 - Municipal governments</t>
  </si>
  <si>
    <t>73 - Indigenous Band, Tribal Council, Nation and/or Alliance</t>
  </si>
  <si>
    <t>74 - Federal departments and/or agencies</t>
  </si>
  <si>
    <t>75 - Program(s) within the same department or agency</t>
  </si>
  <si>
    <t>76 - Public Servants</t>
  </si>
  <si>
    <t>77 - Canadian Forces</t>
  </si>
  <si>
    <t>78 - Contaminated sites</t>
  </si>
  <si>
    <t>79 - Greenhouse gas emitters</t>
  </si>
  <si>
    <t>80 - Water treatment / distribution facilities</t>
  </si>
  <si>
    <t>81 - Ecological systems and/or natural habitats</t>
  </si>
  <si>
    <t>82 - Species at risk and/or invasive species</t>
  </si>
  <si>
    <t>DATA TYPE</t>
  </si>
  <si>
    <t>Number</t>
  </si>
  <si>
    <t>Range</t>
  </si>
  <si>
    <t>Percentage</t>
  </si>
  <si>
    <t>Percentage Change</t>
  </si>
  <si>
    <t>Qualitative</t>
  </si>
  <si>
    <t>Other</t>
  </si>
  <si>
    <t>2 years</t>
  </si>
  <si>
    <t>3 years</t>
  </si>
  <si>
    <t>5 years</t>
  </si>
  <si>
    <t>Evaluation</t>
  </si>
  <si>
    <t>Status</t>
  </si>
  <si>
    <t>Sign-off</t>
  </si>
  <si>
    <t>Program Title :</t>
  </si>
  <si>
    <t>Functional Sign-off by Head of Performance Measurement</t>
  </si>
  <si>
    <t>Quarterly</t>
  </si>
  <si>
    <t>Semi-Annually</t>
  </si>
  <si>
    <t>Monthly</t>
  </si>
  <si>
    <t>Bi-Monthly</t>
  </si>
  <si>
    <t>Annually</t>
  </si>
  <si>
    <t>Date of Approval</t>
  </si>
  <si>
    <t>Horizontal Initiatives</t>
  </si>
  <si>
    <t>PERFORMANCE INFORMATION PROFILE</t>
  </si>
  <si>
    <t>Approval by Program Official</t>
  </si>
  <si>
    <t>Reporting Type</t>
  </si>
  <si>
    <t>Program Output or Outcome</t>
  </si>
  <si>
    <t>Program Tags</t>
  </si>
  <si>
    <t>Departmental Results</t>
  </si>
  <si>
    <t>Core Responsibility 1</t>
  </si>
  <si>
    <t>Core Responsibility 2</t>
  </si>
  <si>
    <t>Core Responsibility 3</t>
  </si>
  <si>
    <t>CoreResponsibility1</t>
  </si>
  <si>
    <t>CoreResponsibility2</t>
  </si>
  <si>
    <t>CoreResponsibility3</t>
  </si>
  <si>
    <t>Goc Outcome Areas</t>
  </si>
  <si>
    <t>Core Responsibility:</t>
  </si>
  <si>
    <t>PRE</t>
  </si>
  <si>
    <t>Approved</t>
  </si>
  <si>
    <t>Departmental Result(s) (within Core Responsibility)</t>
  </si>
  <si>
    <t xml:space="preserve">Natural Resource Science and Risk Mitigation </t>
  </si>
  <si>
    <t xml:space="preserve">Innovative and Sustainable Natural Resource Development </t>
  </si>
  <si>
    <t>Globally Competitive Natural Resource Sectors</t>
  </si>
  <si>
    <t xml:space="preserve">Internal Services </t>
  </si>
  <si>
    <t>Program Official Title:</t>
  </si>
  <si>
    <t>Planned Spending 2019-20:</t>
  </si>
  <si>
    <t>Actual Spending 2019-20:</t>
  </si>
  <si>
    <t>Consultation with the Head of Evaluation</t>
  </si>
  <si>
    <t>Program Design Tool (Logic Model)</t>
  </si>
  <si>
    <t>Date Updated:</t>
  </si>
  <si>
    <t>Intermediate Outcome</t>
  </si>
  <si>
    <t>Ultimate Outcome</t>
  </si>
  <si>
    <t>Horizontal Initiative(s)</t>
  </si>
  <si>
    <t>GC InfoBase Indicator</t>
  </si>
  <si>
    <t xml:space="preserve">Economic Affairs - Strong economic growth </t>
  </si>
  <si>
    <t xml:space="preserve">Economic Affairs - an innovative and knowledge based economy </t>
  </si>
  <si>
    <t xml:space="preserve">Economic Affairs - a clean and healthy environment </t>
  </si>
  <si>
    <t xml:space="preserve">Economic Affairs - income security and employment for Canadians </t>
  </si>
  <si>
    <t>Economic Affairs - a fair and secure market place</t>
  </si>
  <si>
    <t xml:space="preserve">Social Affairs - healthy Canadians </t>
  </si>
  <si>
    <t>Social Affairs - a safe and secure Canada</t>
  </si>
  <si>
    <t xml:space="preserve">Social Affairs - a diverse society that promotes linguistic duality and social inclusion </t>
  </si>
  <si>
    <t xml:space="preserve">Social Affairs - a vibrant Canadian culture and heritage </t>
  </si>
  <si>
    <t xml:space="preserve">International Affairs - a safe and secure world through international engagement </t>
  </si>
  <si>
    <t xml:space="preserve">International Affairs - global poverty reduction through international sustainable development </t>
  </si>
  <si>
    <t xml:space="preserve">International Affairs - a strong and mutually beneficial North American partnership </t>
  </si>
  <si>
    <t>International Affairs - a prosperous Canada through global commerce</t>
  </si>
  <si>
    <t xml:space="preserve">Government Affairs - strong and independent democratic institutions </t>
  </si>
  <si>
    <t xml:space="preserve">Government Affairs - a transparent accountable and responsive federal government </t>
  </si>
  <si>
    <t xml:space="preserve">Government Affairs - well-managed and efficient government operations </t>
  </si>
  <si>
    <t>Government of Canada Outcome Areas</t>
  </si>
  <si>
    <t>R1 Canadians have access to cutting-edge research to inform decisions on the management  of natural resources</t>
  </si>
  <si>
    <t>R2 Communities and officials have the tools to safeguard Canadians from natural hazards and explosives</t>
  </si>
  <si>
    <t>R3 Communities and industries are adapting to climate change</t>
  </si>
  <si>
    <t xml:space="preserve">R4 Natural resource sectors are innovative </t>
  </si>
  <si>
    <t>R5 Clean technologies and energy efficiencies enhance economic performance</t>
  </si>
  <si>
    <t xml:space="preserve">R6 Canada’s natural resources are sustainable  </t>
  </si>
  <si>
    <t>R7 Access to new and priority markets for Canada’s natural resources is enhanced</t>
  </si>
  <si>
    <t>R8 Canadians are engaged in the future of the new and inclusive resource economy</t>
  </si>
  <si>
    <t>R9 Enhanced competitiveness of Canada’s natural resource sectors</t>
  </si>
  <si>
    <t>MPMOI –  Major projects Management Office (NRCan)</t>
  </si>
  <si>
    <t>IICP – Investing in Infrastructure Canada Plan (INFC)</t>
  </si>
  <si>
    <t>CGCC – Clean Growth and Climate Change (ECCC)</t>
  </si>
  <si>
    <t xml:space="preserve">Indicator </t>
  </si>
  <si>
    <t xml:space="preserve">Frequency </t>
  </si>
  <si>
    <t xml:space="preserve">Baseline </t>
  </si>
  <si>
    <t>Data Source</t>
  </si>
  <si>
    <t>Actual Spending (as per GC InfoBase)</t>
  </si>
  <si>
    <t>Insert Image</t>
  </si>
  <si>
    <t xml:space="preserve">Immediate Outcome </t>
  </si>
  <si>
    <t>Performance Indicators</t>
  </si>
  <si>
    <t>Outputs</t>
  </si>
  <si>
    <t xml:space="preserve">DRF indicator </t>
  </si>
  <si>
    <t xml:space="preserve">TB Sub indicator </t>
  </si>
  <si>
    <t xml:space="preserve">DSDS indicator </t>
  </si>
  <si>
    <t xml:space="preserve">SDG indicator </t>
  </si>
  <si>
    <t>Intermediate</t>
  </si>
  <si>
    <t xml:space="preserve">Ultimate </t>
  </si>
  <si>
    <t>Immediate</t>
  </si>
  <si>
    <t>Effectiveness</t>
  </si>
  <si>
    <t>Efficiency</t>
  </si>
  <si>
    <t>2018-19 Result</t>
  </si>
  <si>
    <t>2019-20 Result</t>
  </si>
  <si>
    <t>N/A</t>
  </si>
  <si>
    <t xml:space="preserve"> Menu Select </t>
  </si>
  <si>
    <t>Approval Date</t>
  </si>
  <si>
    <t>Evaluation Driver</t>
  </si>
  <si>
    <t>Planned Approval (FY)</t>
  </si>
  <si>
    <t>Planned Evaluation</t>
  </si>
  <si>
    <t>Link to IAEP</t>
  </si>
  <si>
    <t>Lead Sector</t>
  </si>
  <si>
    <t>Source of Indicator</t>
  </si>
  <si>
    <t>Target 2020-21</t>
  </si>
  <si>
    <t>Does this indicator support GBA+ ?</t>
  </si>
  <si>
    <t xml:space="preserve">COMPLETED EVALUATIONS </t>
  </si>
  <si>
    <t>EVALUATIONS IDENTIFIED IN INTEGRATED AUDIT AND EVALUATION PLAN</t>
  </si>
  <si>
    <t>Considerations</t>
  </si>
  <si>
    <t>Recommendation date</t>
  </si>
  <si>
    <t>TPP indicator</t>
  </si>
  <si>
    <t>R1 Les Canadiens ont accès à une recherche de pointe pour prendre des décisions sur la gestion des ressources naturelles</t>
  </si>
  <si>
    <t>R2 Les collectivités et les agents ont les outils pour protéger les Canadiens contre les dangers naturels et les explosifs</t>
  </si>
  <si>
    <t>R3 Les collectivités et les industries s’adaptent aux changements climatiques</t>
  </si>
  <si>
    <t>R4 Les secteurs des ressources naturelles sont novateurs</t>
  </si>
  <si>
    <t>R5 Les technologies propres et l’efficacité énergétique améliorent le rendement économique</t>
  </si>
  <si>
    <t>R6 Les ressources naturelles du Canada sont durables</t>
  </si>
  <si>
    <t>R7 L’accès à des marchés nouveaux et prioritaires pour les ressources naturelles du Canada est amélioré</t>
  </si>
  <si>
    <t>R8 Les Canadiens participent à l’économie nouvelle et inclusive des ressources de l’avenir</t>
  </si>
  <si>
    <t>R9 La compétitivité des secteurs des ressources naturelles  du Canada est accrue</t>
  </si>
  <si>
    <t xml:space="preserve">For-profit organizations </t>
  </si>
  <si>
    <t>Not-for-profit organizations and charities</t>
  </si>
  <si>
    <t>Academia and public institutions</t>
  </si>
  <si>
    <t>Aboriginal recipients</t>
  </si>
  <si>
    <t xml:space="preserve">Government </t>
  </si>
  <si>
    <t>International (non-government)</t>
  </si>
  <si>
    <t>Individual or sole proprietorships</t>
  </si>
  <si>
    <t xml:space="preserve">Organisme à but lucratif </t>
  </si>
  <si>
    <t xml:space="preserve">Organisme à but non lucratif et organisme de bienfaisance </t>
  </si>
  <si>
    <t xml:space="preserve">Établissement universitaire et institution publique </t>
  </si>
  <si>
    <t xml:space="preserve">Bénéficiaire autochtone </t>
  </si>
  <si>
    <t xml:space="preserve">Gouvernement </t>
  </si>
  <si>
    <t xml:space="preserve">Organisation internationale </t>
  </si>
  <si>
    <t xml:space="preserve">Particulier ou entreprise à propriétaire unique </t>
  </si>
  <si>
    <t>Autre</t>
  </si>
  <si>
    <t>USEFUL LINKS</t>
  </si>
  <si>
    <t>DRF Indicators</t>
  </si>
  <si>
    <t>Core responsibility</t>
  </si>
  <si>
    <t>Indicators and Methodologies 101 one-pager</t>
  </si>
  <si>
    <t>Indicator title</t>
  </si>
  <si>
    <t>Contributing Sectors</t>
  </si>
  <si>
    <t>Date to achieve target</t>
  </si>
  <si>
    <t xml:space="preserve">Information requested </t>
  </si>
  <si>
    <t>If mid-year actuals are not available, please provide a rationale</t>
  </si>
  <si>
    <t>Please select</t>
  </si>
  <si>
    <t xml:space="preserve">PDR comments for consideration when establishing target: </t>
  </si>
  <si>
    <t>Methodology (Insert Image)</t>
  </si>
  <si>
    <t xml:space="preserve">2020-21 MID-YEAR RESULTS UPDATE (MYU)
</t>
  </si>
  <si>
    <t xml:space="preserve">Current 2020-21 Indicator Information </t>
  </si>
  <si>
    <t>Mid-year Actual Results 2020-21</t>
  </si>
  <si>
    <t>Mid-year Actual results (Apr 1 - Sept 30, 2020)</t>
  </si>
  <si>
    <t xml:space="preserve">Based on the MRU, is the program "on track" to meet the 2020-21 target? </t>
  </si>
  <si>
    <t>Target for 2021-22 Departmental Plan</t>
  </si>
  <si>
    <t>Current 2020-21 Indicator Methodology (as per GCInfoBase)</t>
  </si>
  <si>
    <t>Target (2020-21)</t>
  </si>
  <si>
    <t>2020-21 DRF Placemat</t>
  </si>
  <si>
    <t xml:space="preserve">Please provide a rationale for this assessment </t>
  </si>
  <si>
    <t>Change Log</t>
  </si>
  <si>
    <t>Rationale for update</t>
  </si>
  <si>
    <t>Insert drop down after all tabs are finalized</t>
  </si>
  <si>
    <t>IARP – Impact Assessment and Regulatory Processes (CEAA)</t>
  </si>
  <si>
    <t>Nature Legacy – Species at Risk (ECCC)</t>
  </si>
  <si>
    <t>National Cyber Security Strategy (PSC)</t>
  </si>
  <si>
    <t>FCSAP –  Federal Contaminated Sites Action Plan (ECCC)</t>
  </si>
  <si>
    <t>OPP –  Oceans Protection Plan (TC)</t>
  </si>
  <si>
    <t>Emergency Management Strategy (PSC)</t>
  </si>
  <si>
    <t>Tab updated</t>
  </si>
  <si>
    <t>Details of update</t>
  </si>
  <si>
    <t>Date update made</t>
  </si>
  <si>
    <t>Update approved by</t>
  </si>
  <si>
    <t>Question</t>
  </si>
  <si>
    <t>Sub Q</t>
  </si>
  <si>
    <t>Does it apply? (Yes/No)</t>
  </si>
  <si>
    <t>Description of example/experiment</t>
  </si>
  <si>
    <t>Date Approved</t>
  </si>
  <si>
    <t>A</t>
  </si>
  <si>
    <t>Yes - by committing resources (financial, HR) to experimentation</t>
  </si>
  <si>
    <t>yes</t>
  </si>
  <si>
    <t>we commited x resources….</t>
  </si>
  <si>
    <t>Insert sector</t>
  </si>
  <si>
    <t>B</t>
  </si>
  <si>
    <t>Yes - by running experiments (i.e. randomized, quasi-experimental, or structured pre-post methodology)</t>
  </si>
  <si>
    <t>C</t>
  </si>
  <si>
    <t>Yes - by developing a coordinated department-wide framework or approach to experimentation (e.g. a strategy, plan, statement etc.)</t>
  </si>
  <si>
    <t>D</t>
  </si>
  <si>
    <t>Yes - by integrating experimentation into departmental governance bodies</t>
  </si>
  <si>
    <t>E</t>
  </si>
  <si>
    <t>Yes - by building departmental capacity or awareness to do experimentation in ways different from the approaches noted above (please explain)</t>
  </si>
  <si>
    <t>F</t>
  </si>
  <si>
    <t xml:space="preserve">No (please explain) </t>
  </si>
  <si>
    <t xml:space="preserve">Yes. The initiative was scaled-up/ expanded because it was working. </t>
  </si>
  <si>
    <t xml:space="preserve">Yes. The initiative was shut down/ scaled back because it wasn't working. </t>
  </si>
  <si>
    <t xml:space="preserve">Yes. The results allowed for course-correction (i.e. changes to the existing initiative). </t>
  </si>
  <si>
    <t xml:space="preserve">Yes. The results were disseminated (at least department-wide) for decision-making or used to improve the design of another initiative. </t>
  </si>
  <si>
    <t xml:space="preserve">Yes. Other (please specify) </t>
  </si>
  <si>
    <t xml:space="preserve">No. </t>
  </si>
  <si>
    <t>Sector</t>
  </si>
  <si>
    <t xml:space="preserve"> </t>
  </si>
  <si>
    <t xml:space="preserve">Horizontal Intiative </t>
  </si>
  <si>
    <t>Internal program indicator only</t>
  </si>
  <si>
    <t>Program Inventory Program Description (as per GC InfoBase)</t>
  </si>
  <si>
    <t>Transfer Payment Programs</t>
  </si>
  <si>
    <t>Contributions in support of the Green Construction through Wood Program (voted)</t>
  </si>
  <si>
    <t>Grants and Contributions in support of Clean Technology Challenges (voted)</t>
  </si>
  <si>
    <t>Contribution in support of Energy Efficiency Program (voted)</t>
  </si>
  <si>
    <t>Contributions in support of ecoENERGY for Renewable Power (voted)</t>
  </si>
  <si>
    <t xml:space="preserve">Contributions in support of the clean-up of the Gunnar uranium mining facilities (voted) </t>
  </si>
  <si>
    <t>Contributions in support of Clean Growth in Natural Resource Sectors Innovation Program (voted)</t>
  </si>
  <si>
    <t>Contributions in support of the Energy Innovation Program (voted)</t>
  </si>
  <si>
    <t>Contributions in support of Indigenous Advisory and Monitoring Committees for Energy Infrastructure Projects (voted)</t>
  </si>
  <si>
    <t>Contributions in support of Electric Vehicle Infrastructure Demonstration Program (voted)</t>
  </si>
  <si>
    <t>Contributions in support of the Smart Grid Program (voted)</t>
  </si>
  <si>
    <t>Contributions in support of Clean Energy for Rural and Remote Communities (voted)</t>
  </si>
  <si>
    <t>Contributions in support of the Emerging Renewable Power Program (voted)</t>
  </si>
  <si>
    <t>Contributions in support of Climate Change Adaption (voted)</t>
  </si>
  <si>
    <t>Contributions in support of Investments in Forest Industry Transformation Program (voted)</t>
  </si>
  <si>
    <t>Contributions in support of Spruce budworm Early Intervention Strategy – Phase II (voted)</t>
  </si>
  <si>
    <t>Payments to the Newfoundland Offshore Petroleum Resource Revenue Fund (statutory)</t>
  </si>
  <si>
    <t xml:space="preserve">Payments to the Canada-Newfoundland and Labrador Offshore Petroleum Board (statutory) </t>
  </si>
  <si>
    <t>Contributions in support of Zero Emission Vehicle Infrastructure (voted)</t>
  </si>
  <si>
    <t>Contributions in support of Accommodation Measures for the Trans Mountain Expansion project (voted)</t>
  </si>
  <si>
    <t>Grants in support of outreach and Engagement, Energy Efficiency and Energy Innovation (voted)</t>
  </si>
  <si>
    <t>Grants in support of Innovative Solutions Canada (voted)</t>
  </si>
  <si>
    <t>Contributions in support of Small Scale Research (voted)</t>
  </si>
  <si>
    <t>Contributions in support of the GeoConnections Program (voted)</t>
  </si>
  <si>
    <t>Contributions in support of the Forest Research Institute Initiative (voted)</t>
  </si>
  <si>
    <t>Contributions in support of Indigenous Economic Development (voted)</t>
  </si>
  <si>
    <t>Payments to the Canada-Nova Scotia Offshore Petroleum Board (Statutory)</t>
  </si>
  <si>
    <t>Contributions in support of the Youth Employment Strategy (voted)</t>
  </si>
  <si>
    <t>Contributions in support of Indigenous Participation in Dialogues (voted)</t>
  </si>
  <si>
    <t>Grants and Contributions in support of Oil Spill Recovery Technology (voted)</t>
  </si>
  <si>
    <t>Contributions in support of Cyber Security and Critical Energy Infrastructure Protection (voted)</t>
  </si>
  <si>
    <t>Contributions in support of Wildland Fire Resilience (voted)</t>
  </si>
  <si>
    <t>Contributions in support of Earthquake Early Warning (voted)</t>
  </si>
  <si>
    <t>Activities</t>
  </si>
  <si>
    <t>Grant</t>
  </si>
  <si>
    <t>Regulation / Legislation</t>
  </si>
  <si>
    <t>Management / Oversight of Federal Activities</t>
  </si>
  <si>
    <t>Programs / Services for Canadians</t>
  </si>
  <si>
    <t>Enterprise-Wide Program / Service</t>
  </si>
  <si>
    <t>Safety or Security Program / Service</t>
  </si>
  <si>
    <t xml:space="preserve">Contribution </t>
  </si>
  <si>
    <t>Other Transfer Payments</t>
  </si>
  <si>
    <t>Method(s) of Intervention (Maximum of 2)</t>
  </si>
  <si>
    <t>Government of Canada Activity Tags</t>
  </si>
  <si>
    <t>Canadian Classification of Functions of Government</t>
  </si>
  <si>
    <t>Target Group(s)  (Maximum of 5)</t>
  </si>
  <si>
    <t xml:space="preserve">Target Group Tags (Who we help) </t>
  </si>
  <si>
    <t xml:space="preserve">Economic Segments - Mining, and/or oil &amp; gas exploration industries </t>
  </si>
  <si>
    <t xml:space="preserve">Persons - Scientific researchers </t>
  </si>
  <si>
    <t xml:space="preserve">Provinces, Territories and Communities - Provincial &amp; territorial governments </t>
  </si>
  <si>
    <t xml:space="preserve">Economic Segments - Agriculture industry </t>
  </si>
  <si>
    <t xml:space="preserve">Economic Segments - Energy and/or utilities sector </t>
  </si>
  <si>
    <t xml:space="preserve">Economic Segments - Entrepreneurs </t>
  </si>
  <si>
    <t xml:space="preserve">Economic Segments - Finance and/or insurance sectors </t>
  </si>
  <si>
    <t xml:space="preserve">Economic Segments - Fisheries and Aquaculture </t>
  </si>
  <si>
    <t xml:space="preserve">Economic Segments - Forestry industry </t>
  </si>
  <si>
    <t xml:space="preserve">Economic Segments - Hospitality and/or food services industry </t>
  </si>
  <si>
    <t xml:space="preserve">Economic Segments - Housing sector </t>
  </si>
  <si>
    <t xml:space="preserve">Economic Segments - Import / export sectors </t>
  </si>
  <si>
    <t xml:space="preserve">Economic Segments - Indigenous/northern businesses </t>
  </si>
  <si>
    <t xml:space="preserve">Economic Segments - Infrastructure </t>
  </si>
  <si>
    <t xml:space="preserve">Economic Segments - Large sized businesses </t>
  </si>
  <si>
    <t xml:space="preserve">Economic Segments - Manufacturing industry </t>
  </si>
  <si>
    <t xml:space="preserve">Economic Segments - Medium sized businesses </t>
  </si>
  <si>
    <t xml:space="preserve">Economic Segments - Movie, television, and/or publishing sectors </t>
  </si>
  <si>
    <t xml:space="preserve">Economic Segments - Performing arts sector </t>
  </si>
  <si>
    <t xml:space="preserve">Economic Segments - Retail industry </t>
  </si>
  <si>
    <t xml:space="preserve">Economic Segments - Science and technology industry </t>
  </si>
  <si>
    <t xml:space="preserve">Economic Segments - Small and Medium Enterprises </t>
  </si>
  <si>
    <t xml:space="preserve">Economic Segments - Small sized businesses </t>
  </si>
  <si>
    <t xml:space="preserve">Economic Segments - Sports and/or recreation industry </t>
  </si>
  <si>
    <t xml:space="preserve">Economic Segments - Telecommunications sector </t>
  </si>
  <si>
    <t xml:space="preserve">Economic Segments - Training and/or educational sectors </t>
  </si>
  <si>
    <t xml:space="preserve">Economic Segments - Transportation industry </t>
  </si>
  <si>
    <t xml:space="preserve">Environmental - Contaminated sites </t>
  </si>
  <si>
    <t xml:space="preserve">Environmental - Ecological systems and/or natural habitats </t>
  </si>
  <si>
    <t xml:space="preserve">Environmental - Greenhouse gas emitters </t>
  </si>
  <si>
    <t xml:space="preserve">Environmental - Species at risk and/or invasive species </t>
  </si>
  <si>
    <t xml:space="preserve">Environmental - Water treatment / distribution facilities </t>
  </si>
  <si>
    <t xml:space="preserve">Foreign Entities - Civil society in developing countries / regions </t>
  </si>
  <si>
    <t xml:space="preserve">Foreign Entities - Families in developing countries / regions </t>
  </si>
  <si>
    <t xml:space="preserve">Foreign Entities - Foreign governments </t>
  </si>
  <si>
    <t xml:space="preserve">Foreign Entities - Government institutions in developing countries / regions </t>
  </si>
  <si>
    <t xml:space="preserve">Foreign Entities - International organizations and/or alliances </t>
  </si>
  <si>
    <t xml:space="preserve">Foreign Entities - Private sector / businesses in developing countries / regions </t>
  </si>
  <si>
    <t xml:space="preserve">Internal to Government - Canadian Forces </t>
  </si>
  <si>
    <t xml:space="preserve">Internal to Government - Federal departments and/or agencies </t>
  </si>
  <si>
    <t xml:space="preserve">Internal to Government - Federal public service </t>
  </si>
  <si>
    <t xml:space="preserve">Internal to Government - Program(s) within the same department or agency </t>
  </si>
  <si>
    <t xml:space="preserve">Internal to Government - Public servants </t>
  </si>
  <si>
    <t xml:space="preserve">Non-Profit Institutions and Organizations - Colleges and/or universities </t>
  </si>
  <si>
    <t xml:space="preserve">Non-Profit Institutions and Organizations - Health care and/or social assistance sectors </t>
  </si>
  <si>
    <t xml:space="preserve">Non-Profit Institutions and Organizations - Heritage institutions </t>
  </si>
  <si>
    <t xml:space="preserve">Non-Profit Institutions and Organizations - Non-governmental organizations (NGO) </t>
  </si>
  <si>
    <t xml:space="preserve">Persons - Artists and/or performers </t>
  </si>
  <si>
    <t xml:space="preserve">Persons - Athletes and/or coaches </t>
  </si>
  <si>
    <t xml:space="preserve">Persons - Canadians travelling, working, studying, and/or living abroad </t>
  </si>
  <si>
    <t xml:space="preserve">Persons - Children </t>
  </si>
  <si>
    <t xml:space="preserve">Persons - Consumers </t>
  </si>
  <si>
    <t xml:space="preserve">Persons - Dependants of Military and Law Enforcement Veterans </t>
  </si>
  <si>
    <t xml:space="preserve">Persons - Detained and/or formerly incarcerated individuals </t>
  </si>
  <si>
    <t xml:space="preserve">Persons - Families </t>
  </si>
  <si>
    <t xml:space="preserve">Persons - Farmers </t>
  </si>
  <si>
    <t xml:space="preserve">Persons - Foreign and/or migrant workers </t>
  </si>
  <si>
    <t xml:space="preserve">Persons - Foreign investors and/or foreign entrepreneurs </t>
  </si>
  <si>
    <t xml:space="preserve">Persons - General public </t>
  </si>
  <si>
    <t xml:space="preserve">Persons - Health care professionals </t>
  </si>
  <si>
    <t xml:space="preserve">Persons - Immigrants and/or refugees </t>
  </si>
  <si>
    <t xml:space="preserve">Persons - Indigenous people </t>
  </si>
  <si>
    <t xml:space="preserve">Persons - International students </t>
  </si>
  <si>
    <t xml:space="preserve">Persons - Language minority communities </t>
  </si>
  <si>
    <t xml:space="preserve">Persons - Law enforcement officials </t>
  </si>
  <si>
    <t xml:space="preserve">Persons - Legal professionals </t>
  </si>
  <si>
    <t xml:space="preserve">Persons - Low-income individuals and/or families </t>
  </si>
  <si>
    <t xml:space="preserve">Persons - Members of Parliament </t>
  </si>
  <si>
    <t xml:space="preserve">Persons - Military personnel </t>
  </si>
  <si>
    <t xml:space="preserve">Persons - Persons with disabilities </t>
  </si>
  <si>
    <t xml:space="preserve">Persons - Seniors </t>
  </si>
  <si>
    <t xml:space="preserve">Persons - Socio-economic researchers </t>
  </si>
  <si>
    <t xml:space="preserve">Persons - Students </t>
  </si>
  <si>
    <t xml:space="preserve">Persons - Tourists and/or foreign visitors </t>
  </si>
  <si>
    <t xml:space="preserve">Persons - Unemployed </t>
  </si>
  <si>
    <t xml:space="preserve">Persons - Veterans </t>
  </si>
  <si>
    <t xml:space="preserve">Persons - Victims </t>
  </si>
  <si>
    <t xml:space="preserve">Persons - Violators of regulations and/or laws </t>
  </si>
  <si>
    <t xml:space="preserve">Persons - Voters </t>
  </si>
  <si>
    <t xml:space="preserve">Persons - Women </t>
  </si>
  <si>
    <t xml:space="preserve">Persons - Workers </t>
  </si>
  <si>
    <t xml:space="preserve">Persons - Youth </t>
  </si>
  <si>
    <t xml:space="preserve">Provinces, Territories and Communities - Indigenous Band, Tribal Council, Nation and/or Alliance </t>
  </si>
  <si>
    <t xml:space="preserve">Provinces, Territories and Communities - Local and/or regional communities </t>
  </si>
  <si>
    <t xml:space="preserve">Provinces, Territories and Communities - Municipal governments </t>
  </si>
  <si>
    <t xml:space="preserve">Provinces, Territories and Communities - Northern communities </t>
  </si>
  <si>
    <t xml:space="preserve">Provinces, Territories and Communities - Rural communities </t>
  </si>
  <si>
    <t xml:space="preserve">Provinces, Territories and Communities - Urban communities </t>
  </si>
  <si>
    <t xml:space="preserve">Employment and Income Security </t>
  </si>
  <si>
    <t>Economic Development</t>
  </si>
  <si>
    <t>Market integrity, regulation, and competition</t>
  </si>
  <si>
    <t xml:space="preserve">Health </t>
  </si>
  <si>
    <t xml:space="preserve">Safety and Security </t>
  </si>
  <si>
    <t>Social Inclusion</t>
  </si>
  <si>
    <t>Heritage and Culture</t>
  </si>
  <si>
    <t xml:space="preserve">International Engagement </t>
  </si>
  <si>
    <t>International Development</t>
  </si>
  <si>
    <t>North American Partnership</t>
  </si>
  <si>
    <t>International Trade and Investment</t>
  </si>
  <si>
    <t>Democratic Institutions</t>
  </si>
  <si>
    <t>Transparency and Accountability</t>
  </si>
  <si>
    <t>Government Operations</t>
  </si>
  <si>
    <t>Crown Corporations</t>
  </si>
  <si>
    <t xml:space="preserve">Environment </t>
  </si>
  <si>
    <t xml:space="preserve">Research and Development </t>
  </si>
  <si>
    <t>Output</t>
  </si>
  <si>
    <t>Question #5: Has your porgram been experimenting, in the 2019 calendar year, to find ways for addressing persistent problems and improving outcomes for Canadians? (See definition of experimentation email hyperlink.) Description or examples to support your answer is to be provided (see details below) (Select all that apply).</t>
  </si>
  <si>
    <t xml:space="preserve">Question #6: If your program has run experiments, are the results of these experiments being used to inform decision making in 2019?
</t>
  </si>
  <si>
    <t>Strategic Priorities</t>
  </si>
  <si>
    <t>Year</t>
  </si>
  <si>
    <t>Supplementary Information Tables (SITs)</t>
  </si>
  <si>
    <t xml:space="preserve">Protecting Canadians from the impacts of natural and human-induced hazards </t>
  </si>
  <si>
    <t>Accelerating the adoption of clean technology and supporting the transition to a low-carbon future</t>
  </si>
  <si>
    <t xml:space="preserve">Advancing reconciliation, building relationships, and sharing economic benefits with Indigenous peoples </t>
  </si>
  <si>
    <t>Accelerating the adoption of clean technology and supporting the transition of a low-carbon future</t>
  </si>
  <si>
    <t>Improving market access and competitiveness in Canada’s resource sectors</t>
  </si>
  <si>
    <t>Supporting resource communities and workers in a low carbon economy</t>
  </si>
  <si>
    <t xml:space="preserve"> Advancing reconciliation, building relationships, and sharing economic benefits with Indigenous peoples </t>
  </si>
  <si>
    <t>Supporting resource communities and workers in a low-carbon economy</t>
  </si>
  <si>
    <t>TPP Program</t>
  </si>
  <si>
    <t>EXPERIMENTATION CONSIDERATIONS</t>
  </si>
  <si>
    <t>To be prepopulated by SPI Experimentation Unit prior to End of Year Update</t>
  </si>
  <si>
    <t>Transfer Payment Program SIT - DP</t>
  </si>
  <si>
    <t>Transfer Payment Program SIT - DRR</t>
  </si>
  <si>
    <t>Departmental Sustainable Development Strategy SIT - DP</t>
  </si>
  <si>
    <t>Departmental Sustainable Development Strategy SIT - DRR</t>
  </si>
  <si>
    <t>Horizontal Intiative SIT - DP</t>
  </si>
  <si>
    <t>Horizontal Intiative SIT - DRR</t>
  </si>
  <si>
    <t>GCDocs link</t>
  </si>
  <si>
    <t>SUPPLEMENTARY INFORMATION TABLES</t>
  </si>
  <si>
    <t>To be prepopulated by SPI-PDR with the link to tables required to be completed (DRR at end of year and DP at Mid-Year)</t>
  </si>
  <si>
    <t>Sector Feedback on Feasibility  
(Sectors to complete at Mid-Year Update)</t>
  </si>
  <si>
    <t>Mandate Letter Commitment(s)</t>
  </si>
  <si>
    <t>2017-18 Result</t>
  </si>
  <si>
    <t xml:space="preserve"> MAF 2019-20 (Sectors to complete during Mid-Year update)
Results Management AoM: Experimentation Questions 5&amp;6 </t>
  </si>
  <si>
    <t>[Enter text here]</t>
  </si>
  <si>
    <r>
      <rPr>
        <b/>
        <sz val="11"/>
        <color theme="1"/>
        <rFont val="Calibri"/>
        <family val="2"/>
        <scheme val="minor"/>
      </rPr>
      <t>In the text box below</t>
    </r>
    <r>
      <rPr>
        <sz val="11"/>
        <color theme="1"/>
        <rFont val="Calibri"/>
        <family val="2"/>
        <scheme val="minor"/>
      </rPr>
      <t xml:space="preserve">, please indicate results achieved over the previous fiscal period against:
1) Performance indicators and targets that reflect GBA+ . Please indicate if there were groups that were negatively impacted or unable to benefit from the initiative (section 3)
2) Relevant performance indicators and targets as outlined by the Gender Results Framework (section 4)
3)The net impact of the initiative on gender equality, diversity and inclusivity.
</t>
    </r>
  </si>
  <si>
    <r>
      <t xml:space="preserve">Section 5. Results achieved over the Previous Fiscal Period
</t>
    </r>
    <r>
      <rPr>
        <sz val="12"/>
        <color theme="0"/>
        <rFont val="Calibri"/>
        <family val="2"/>
        <scheme val="minor"/>
      </rPr>
      <t>Information provided in this section will inform reporting requirements under the</t>
    </r>
    <r>
      <rPr>
        <b/>
        <u/>
        <sz val="12"/>
        <color theme="0"/>
        <rFont val="Calibri"/>
        <family val="2"/>
        <scheme val="minor"/>
      </rPr>
      <t xml:space="preserve"> Departmental Results Report including the GBA+ Supplementary Information Table </t>
    </r>
    <r>
      <rPr>
        <sz val="12"/>
        <color theme="0"/>
        <rFont val="Calibri"/>
        <family val="2"/>
        <scheme val="minor"/>
      </rPr>
      <t xml:space="preserve">and the </t>
    </r>
    <r>
      <rPr>
        <b/>
        <u/>
        <sz val="12"/>
        <color theme="0"/>
        <rFont val="Calibri"/>
        <family val="2"/>
        <scheme val="minor"/>
      </rPr>
      <t>GBA+ Implementation Survey,</t>
    </r>
    <r>
      <rPr>
        <sz val="12"/>
        <color theme="0"/>
        <rFont val="Calibri"/>
        <family val="2"/>
        <scheme val="minor"/>
      </rPr>
      <t xml:space="preserve"> and will enable the Department to track, monitor and evaluate the performance of its programs with regard to outcomes and impacts for different groups.</t>
    </r>
    <r>
      <rPr>
        <b/>
        <sz val="12"/>
        <color theme="0"/>
        <rFont val="Calibri"/>
        <family val="2"/>
        <scheme val="minor"/>
      </rPr>
      <t xml:space="preserve">
</t>
    </r>
  </si>
  <si>
    <r>
      <t>Please answer the following questions to enable the Department to monitor, evaluate and report on the performance of its programs with regard to the Government of Canada Gender Results Framework. Please select all that apply, by highlighting either Y or N beside the appropriate item(s).</t>
    </r>
    <r>
      <rPr>
        <b/>
        <sz val="11"/>
        <color theme="1"/>
        <rFont val="Calibri"/>
        <family val="2"/>
        <scheme val="minor"/>
      </rPr>
      <t xml:space="preserve"> In the text box below</t>
    </r>
    <r>
      <rPr>
        <sz val="11"/>
        <color theme="1"/>
        <rFont val="Calibri"/>
        <family val="2"/>
        <scheme val="minor"/>
      </rPr>
      <t xml:space="preserve">, please list and provide a brief explanation for each item selected from the list above, and identify links to relevant budget proposals, TB Subs, MCs or Regs etc. as applicable.
a) This program includes specific measures to advance gender equality as outlined by the six pillars of the Gender Results Framework. Please specify which pillar. [Y/N]
b) This program is expected to advance the gender equality goals for Canada as outlined by the six pillars in Canada’s Gender Results Framework. Please specify which pillar. [Y/N]
c) This program includes indicators from the GRF to monitor and evaluate expected outcomes as outcomes as identified by questions (a) and (b). Please specify which pillar. [Y/N]
d) This program includes Departmental Results Indicators that contribute to or advance the gender equality goals outlined by the GRF. Please specify which pillar. [Y/N]
For more information, please see the GBA+ procedures/ guidance document.
</t>
    </r>
  </si>
  <si>
    <r>
      <t xml:space="preserve">Section 4. Government of Canada Gender Results Framework (GRF)
</t>
    </r>
    <r>
      <rPr>
        <sz val="12"/>
        <color theme="0"/>
        <rFont val="Calibri"/>
        <family val="2"/>
        <scheme val="minor"/>
      </rPr>
      <t xml:space="preserve"> The Gender Results Framework represents the Government of Canada's vision for gender equality and is a whole-of government tool designed to:
•Track how Canada is currently performing
•Define what is needed to achieve greater equality
•Determine how progress will be measured going forward
Information provided in this section will inform reporting requirements under the </t>
    </r>
    <r>
      <rPr>
        <b/>
        <u/>
        <sz val="12"/>
        <color theme="0"/>
        <rFont val="Calibri"/>
        <family val="2"/>
        <scheme val="minor"/>
      </rPr>
      <t>GBA+ Implementation Survey,</t>
    </r>
    <r>
      <rPr>
        <sz val="12"/>
        <color theme="0"/>
        <rFont val="Calibri"/>
        <family val="2"/>
        <scheme val="minor"/>
      </rPr>
      <t xml:space="preserve"> </t>
    </r>
    <r>
      <rPr>
        <b/>
        <u/>
        <sz val="12"/>
        <color theme="0"/>
        <rFont val="Calibri"/>
        <family val="2"/>
        <scheme val="minor"/>
      </rPr>
      <t xml:space="preserve">Departmental Plan </t>
    </r>
    <r>
      <rPr>
        <sz val="12"/>
        <color theme="0"/>
        <rFont val="Calibri"/>
        <family val="2"/>
        <scheme val="minor"/>
      </rPr>
      <t>and</t>
    </r>
    <r>
      <rPr>
        <b/>
        <u/>
        <sz val="12"/>
        <color theme="0"/>
        <rFont val="Calibri"/>
        <family val="2"/>
        <scheme val="minor"/>
      </rPr>
      <t xml:space="preserve"> Departmental Results Report including the GBA+ Supplementary Information Table(s) </t>
    </r>
    <r>
      <rPr>
        <sz val="12"/>
        <color theme="0"/>
        <rFont val="Calibri"/>
        <family val="2"/>
        <scheme val="minor"/>
      </rPr>
      <t>and will enable the Department to monitor, evaluate and report on its contributions to the Government wide priority to advance gender equality as outlined by the GRF. 
Information provided in this section will also serve to inform the work done by the Department of Women and Gender Equality, in collaboration with Statistics Canada and Global Affairs Canada, to track the Government of Canada's progress in advancing gender equality goals outlined by the Gender Results Framework.</t>
    </r>
  </si>
  <si>
    <r>
      <t xml:space="preserve">As applicable, please: </t>
    </r>
    <r>
      <rPr>
        <b/>
        <sz val="11"/>
        <color theme="1"/>
        <rFont val="Calibri"/>
        <family val="2"/>
        <scheme val="minor"/>
      </rPr>
      <t xml:space="preserve">(1) </t>
    </r>
    <r>
      <rPr>
        <sz val="11"/>
        <color theme="1"/>
        <rFont val="Calibri"/>
        <family val="2"/>
        <scheme val="minor"/>
      </rPr>
      <t xml:space="preserve">Develop relevant GBA+ performance metrics ; </t>
    </r>
    <r>
      <rPr>
        <b/>
        <sz val="11"/>
        <color theme="1"/>
        <rFont val="Calibri"/>
        <family val="2"/>
        <scheme val="minor"/>
      </rPr>
      <t>(2)</t>
    </r>
    <r>
      <rPr>
        <sz val="11"/>
        <color theme="1"/>
        <rFont val="Calibri"/>
        <family val="2"/>
        <scheme val="minor"/>
      </rPr>
      <t xml:space="preserve"> consider modifying relevant PIP indicators that will enable to the Department to do any of the following: 
a) track, monitor and evaluate </t>
    </r>
    <r>
      <rPr>
        <b/>
        <u/>
        <sz val="11"/>
        <color theme="1"/>
        <rFont val="Calibri"/>
        <family val="2"/>
        <scheme val="minor"/>
      </rPr>
      <t xml:space="preserve">expected benefits (direct and indirect) </t>
    </r>
    <r>
      <rPr>
        <sz val="11"/>
        <color theme="1"/>
        <rFont val="Calibri"/>
        <family val="2"/>
        <scheme val="minor"/>
      </rPr>
      <t xml:space="preserve">as identified by the GBA+ analysis of the program, throughout the course of implementation. 
b) track, monitor and evaluate expected </t>
    </r>
    <r>
      <rPr>
        <b/>
        <u/>
        <sz val="11"/>
        <color theme="1"/>
        <rFont val="Calibri"/>
        <family val="2"/>
        <scheme val="minor"/>
      </rPr>
      <t>income distributional or generational impact</t>
    </r>
    <r>
      <rPr>
        <sz val="11"/>
        <color theme="1"/>
        <rFont val="Calibri"/>
        <family val="2"/>
        <scheme val="minor"/>
      </rPr>
      <t xml:space="preserve">s as identified by the GBA+ analysis of the program, throughout the course of implementation.
c) track, monitor and evaluate </t>
    </r>
    <r>
      <rPr>
        <b/>
        <u/>
        <sz val="11"/>
        <color theme="1"/>
        <rFont val="Calibri"/>
        <family val="2"/>
        <scheme val="minor"/>
      </rPr>
      <t>access, participation or use</t>
    </r>
    <r>
      <rPr>
        <sz val="11"/>
        <color theme="1"/>
        <rFont val="Calibri"/>
        <family val="2"/>
        <scheme val="minor"/>
      </rPr>
      <t xml:space="preserve"> by different groups throughout the course of implementation.
d)track, monitor and evaluate</t>
    </r>
    <r>
      <rPr>
        <b/>
        <u/>
        <sz val="11"/>
        <color theme="1"/>
        <rFont val="Calibri"/>
        <family val="2"/>
        <scheme val="minor"/>
      </rPr>
      <t xml:space="preserve"> unintended impacts or outcome</t>
    </r>
    <r>
      <rPr>
        <sz val="11"/>
        <color theme="1"/>
        <rFont val="Calibri"/>
        <family val="2"/>
        <scheme val="minor"/>
      </rPr>
      <t xml:space="preserve">s for different groups throughout the course of implementation.  
</t>
    </r>
    <r>
      <rPr>
        <b/>
        <sz val="11"/>
        <color theme="1"/>
        <rFont val="Calibri"/>
        <family val="2"/>
        <scheme val="minor"/>
      </rPr>
      <t>All indicators must be housed in the indicators tab, please make sure to include GBA+ indicators in the indicators tab of the PIP template.</t>
    </r>
    <r>
      <rPr>
        <sz val="11"/>
        <color theme="1"/>
        <rFont val="Calibri"/>
        <family val="2"/>
        <scheme val="minor"/>
      </rPr>
      <t xml:space="preserve">
</t>
    </r>
  </si>
  <si>
    <r>
      <t xml:space="preserve">Section 3. GBA+ Performance Measurement: Tracking, monitoring, and evaluation of GBA+ Impacts 
</t>
    </r>
    <r>
      <rPr>
        <sz val="12"/>
        <color theme="0"/>
        <rFont val="Calibri"/>
        <family val="2"/>
        <scheme val="minor"/>
      </rPr>
      <t>Information provided in this section will inform the reporting requirements under the</t>
    </r>
    <r>
      <rPr>
        <b/>
        <u/>
        <sz val="12"/>
        <color theme="0"/>
        <rFont val="Calibri"/>
        <family val="2"/>
        <scheme val="minor"/>
      </rPr>
      <t xml:space="preserve"> Departmental Results Report </t>
    </r>
    <r>
      <rPr>
        <sz val="12"/>
        <color theme="0"/>
        <rFont val="Calibri"/>
        <family val="2"/>
        <scheme val="minor"/>
      </rPr>
      <t>and</t>
    </r>
    <r>
      <rPr>
        <b/>
        <u/>
        <sz val="12"/>
        <color theme="0"/>
        <rFont val="Calibri"/>
        <family val="2"/>
        <scheme val="minor"/>
      </rPr>
      <t xml:space="preserve"> Departmental Plan</t>
    </r>
    <r>
      <rPr>
        <sz val="12"/>
        <color theme="0"/>
        <rFont val="Calibri"/>
        <family val="2"/>
        <scheme val="minor"/>
      </rPr>
      <t xml:space="preserve">, including the </t>
    </r>
    <r>
      <rPr>
        <b/>
        <u/>
        <sz val="12"/>
        <color theme="0"/>
        <rFont val="Calibri"/>
        <family val="2"/>
        <scheme val="minor"/>
      </rPr>
      <t xml:space="preserve">GBA+ Supplementary Information Table(s)  </t>
    </r>
    <r>
      <rPr>
        <sz val="12"/>
        <color theme="0"/>
        <rFont val="Calibri"/>
        <family val="2"/>
        <scheme val="minor"/>
      </rPr>
      <t xml:space="preserve">(specifically requirements to identify "reporting capacity and data) and will enable the Department to track, monitor and evaluate the GBA+ impacts of its programs throughout the course of implementation. 
*Currently the ability to track, monitor and evaluate GBA+ impacts of programs after implementation is a government-wide challenge/ gap.* </t>
    </r>
  </si>
  <si>
    <r>
      <rPr>
        <b/>
        <sz val="12"/>
        <color theme="1"/>
        <rFont val="Calibri"/>
        <family val="2"/>
        <scheme val="minor"/>
      </rPr>
      <t>In the text bow below</t>
    </r>
    <r>
      <rPr>
        <sz val="12"/>
        <color theme="1"/>
        <rFont val="Calibri"/>
        <family val="2"/>
        <scheme val="minor"/>
      </rPr>
      <t>, please identify the key findings of the GBA+ for the program, including: direct and indirect benefits; income distributional or generational impacts; barriers: to participation, access, benefits; risks of uneven distribution of benefits; differential impacts; or, direct or indirect negative impacts.
For more information, please see the GBA+ procedures/ guidance document.</t>
    </r>
  </si>
  <si>
    <r>
      <t xml:space="preserve">Section 2. Expected Outcomes and Results as identified by the GBA+ Analysis of the Program
</t>
    </r>
    <r>
      <rPr>
        <sz val="12"/>
        <color theme="0"/>
        <rFont val="Calibri"/>
        <family val="2"/>
        <scheme val="minor"/>
      </rPr>
      <t>Information provided in this section will inform the development of relevant GBA+ performance metrics that will enable the Department to track, monitor and evaluate the performance of its programs with regard to impacts and outcomes for diverse groups. Information provided in this section will also support the population of the</t>
    </r>
    <r>
      <rPr>
        <b/>
        <u/>
        <sz val="12"/>
        <color theme="0"/>
        <rFont val="Calibri"/>
        <family val="2"/>
        <scheme val="minor"/>
      </rPr>
      <t xml:space="preserve"> GBA+ Supplementary Information Table(s) </t>
    </r>
    <r>
      <rPr>
        <sz val="12"/>
        <color theme="0"/>
        <rFont val="Calibri"/>
        <family val="2"/>
        <scheme val="minor"/>
      </rPr>
      <t xml:space="preserve"> for the </t>
    </r>
    <r>
      <rPr>
        <b/>
        <u/>
        <sz val="12"/>
        <color theme="0"/>
        <rFont val="Calibri"/>
        <family val="2"/>
        <scheme val="minor"/>
      </rPr>
      <t>Departmental Plan</t>
    </r>
    <r>
      <rPr>
        <sz val="12"/>
        <color theme="0"/>
        <rFont val="Calibri"/>
        <family val="2"/>
        <scheme val="minor"/>
      </rPr>
      <t xml:space="preserve"> and </t>
    </r>
    <r>
      <rPr>
        <b/>
        <u/>
        <sz val="12"/>
        <color theme="0"/>
        <rFont val="Calibri"/>
        <family val="2"/>
        <scheme val="minor"/>
      </rPr>
      <t>Departmental Results Report</t>
    </r>
    <r>
      <rPr>
        <sz val="12"/>
        <color theme="0"/>
        <rFont val="Calibri"/>
        <family val="2"/>
        <scheme val="minor"/>
      </rPr>
      <t xml:space="preserve">, as well as </t>
    </r>
    <r>
      <rPr>
        <b/>
        <u/>
        <sz val="12"/>
        <color theme="0"/>
        <rFont val="Calibri"/>
        <family val="2"/>
        <scheme val="minor"/>
      </rPr>
      <t>various sections of the GBA+ Implementation Survey</t>
    </r>
    <r>
      <rPr>
        <sz val="12"/>
        <color theme="0"/>
        <rFont val="Calibri"/>
        <family val="2"/>
        <scheme val="minor"/>
      </rPr>
      <t xml:space="preserve">. </t>
    </r>
  </si>
  <si>
    <r>
      <t>Please select all that apply, by highlighting either Y or N beside the appropriate item(s).</t>
    </r>
    <r>
      <rPr>
        <b/>
        <sz val="12"/>
        <color theme="1"/>
        <rFont val="Calibri"/>
        <family val="2"/>
        <scheme val="minor"/>
      </rPr>
      <t xml:space="preserve"> In the text box below</t>
    </r>
    <r>
      <rPr>
        <sz val="12"/>
        <color theme="1"/>
        <rFont val="Calibri"/>
        <family val="2"/>
        <scheme val="minor"/>
      </rPr>
      <t>, please list and provide a brief explanation for each item selected from the list above, and identify links to relevant budget proposals, TB Subs, MCs or Regs etc. as applicable.
a) GBA+ will be used to ensure equitable and inclusive outcomes for Canadians (Where applicable, identify specific program design or implementation elements that seek to address existing inequalities, include proactive steps to reduce potential barriers and promote access or mitigate potential negative impacts of the program itself). [Y/N] 
b) Past results, lessons learned and corrective actions in relation to gender equality, diversity and inclusiveness will be used to adjust key initiatives and achieve more equitable and inclusive outcomes for Canadians. [Y/N]
c) The GBA+ analysis prompted changes to the fundamental parameters of the program to serve more diverse groups of Canadians. [Y/N]</t>
    </r>
  </si>
  <si>
    <r>
      <rPr>
        <u/>
        <sz val="12"/>
        <color theme="1"/>
        <rFont val="Calibri"/>
        <family val="2"/>
        <scheme val="minor"/>
      </rPr>
      <t xml:space="preserve">GBA+ informed which of the following ?
</t>
    </r>
    <r>
      <rPr>
        <sz val="12"/>
        <color theme="1"/>
        <rFont val="Calibri"/>
        <family val="2"/>
        <scheme val="minor"/>
      </rPr>
      <t xml:space="preserve"> Please select all that apply, by highlighting either Y or N beside the appropriate item(s). </t>
    </r>
    <r>
      <rPr>
        <b/>
        <sz val="12"/>
        <color theme="1"/>
        <rFont val="Calibri"/>
        <family val="2"/>
        <scheme val="minor"/>
      </rPr>
      <t>In the text box below</t>
    </r>
    <r>
      <rPr>
        <sz val="12"/>
        <color theme="1"/>
        <rFont val="Calibri"/>
        <family val="2"/>
        <scheme val="minor"/>
      </rPr>
      <t>, please list and provide a brief explanation for each item selected from the list above, and identify links to relevant budget proposals, TB Subs, MCs or Regs etc. as applicable.
a) Problem definition or issue statement [Y/N]
b) Analysis and research [Y/N]
c) Development of options  [Y/N]
d)</t>
    </r>
    <r>
      <rPr>
        <sz val="12"/>
        <color theme="1"/>
        <rFont val="Calibri"/>
        <family val="2"/>
      </rPr>
      <t xml:space="preserve"> R</t>
    </r>
    <r>
      <rPr>
        <sz val="12"/>
        <color theme="1"/>
        <rFont val="Calibri"/>
        <family val="2"/>
        <scheme val="minor"/>
      </rPr>
      <t>ationale [Y/N]
e)</t>
    </r>
    <r>
      <rPr>
        <sz val="12"/>
        <color theme="1"/>
        <rFont val="Calibri"/>
        <family val="2"/>
      </rPr>
      <t xml:space="preserve"> K</t>
    </r>
    <r>
      <rPr>
        <sz val="12"/>
        <color theme="1"/>
        <rFont val="Calibri"/>
        <family val="2"/>
        <scheme val="minor"/>
      </rPr>
      <t xml:space="preserve">ey considerations [Y/N]
f) Risks, risks response and mitigation [Y/N]
g) Development of communication strategy [Y/N]
h) Expected results [Y/N]
i) Development of results and delivery strategy [Y/N]
J) Program parameters or design  [Y/N]
k) Implementation plan [Y/N]
l) Consultation or engagement plan and activities, including design  [Y/N]
</t>
    </r>
  </si>
  <si>
    <r>
      <t xml:space="preserve">Section 1. (A) Monitoring and Evaluating GBA+ Implementation
</t>
    </r>
    <r>
      <rPr>
        <sz val="12"/>
        <color theme="0"/>
        <rFont val="Calibri"/>
        <family val="2"/>
        <scheme val="minor"/>
      </rPr>
      <t xml:space="preserve"> Information provided in this section will inform reporting requirements under the </t>
    </r>
    <r>
      <rPr>
        <b/>
        <u/>
        <sz val="12"/>
        <color theme="0"/>
        <rFont val="Calibri"/>
        <family val="2"/>
        <scheme val="minor"/>
      </rPr>
      <t xml:space="preserve">Annual GBA+ Implementation Survey </t>
    </r>
    <r>
      <rPr>
        <sz val="12"/>
        <color theme="0"/>
        <rFont val="Calibri"/>
        <family val="2"/>
        <scheme val="minor"/>
      </rPr>
      <t>(led by TBS, PCO and WAGE) and the</t>
    </r>
    <r>
      <rPr>
        <b/>
        <u/>
        <sz val="12"/>
        <color theme="0"/>
        <rFont val="Calibri"/>
        <family val="2"/>
        <scheme val="minor"/>
      </rPr>
      <t xml:space="preserve"> Departmental Results Report, GBA+ Supplementary Information Table</t>
    </r>
    <r>
      <rPr>
        <sz val="12"/>
        <color theme="0"/>
        <rFont val="Calibri"/>
        <family val="2"/>
        <scheme val="minor"/>
      </rPr>
      <t xml:space="preserve"> (TBS led) and will enable the Department to track, monitor and evaluate progress with regard to GBA+ implementation, including:
a) Where and how  GBA+ is being implemented into our programs through the different stages of the policy and program life-cycle.
b) To what extent it is applied to Memoranda to Cabinet, Treasury Board submissions and policy development.
c) Repercussions that GBA+ has had on decisions, actions and results. 
</t>
    </r>
  </si>
  <si>
    <t>Gender Based Analysis (GBA) +</t>
  </si>
  <si>
    <t>NRCan's PIP Guidelines and Procedures</t>
  </si>
  <si>
    <t>Mandate Letter Commitments</t>
  </si>
  <si>
    <t>Building on the work completed in the Government’s first term, work with partners to implement, as appropriate, the recommendations of the Generation Energy Council Report</t>
  </si>
  <si>
    <t>Position Canada as a global leader in clean technology, including in critical minerals</t>
  </si>
  <si>
    <t xml:space="preserve">Identify opportunities to support workers and businesses in the natural resource sectors that are seeking to export their goods to global markets </t>
  </si>
  <si>
    <t xml:space="preserve">Operationalize the plan to plant two billion incremental trees over the next 10 years </t>
  </si>
  <si>
    <t>Help cities expand and diversify their urban forests. You will both also invest in protecting trees from infestations and, when ecologically appropriate, help rebuild our forests after a wildfire</t>
  </si>
  <si>
    <t>Support research and provide funding so that municipalities have access to domestic sources of climate-resilient and genetically diverse trees that will increase the resilience of our urban forests</t>
  </si>
  <si>
    <t xml:space="preserve">Advance legislation to support the future and livelihood of workers and their communities </t>
  </si>
  <si>
    <t xml:space="preserve">Operationalize a plan to help Canadians make their homes more energy efficient and climate resilient </t>
  </si>
  <si>
    <t>Make Energy Star certification mandatory for all new home appliances starting in 2022</t>
  </si>
  <si>
    <t>Launch a national competition to create four long-term funds to help attract private capital that can be used for deep retrofits of large buildings such as office towers</t>
  </si>
  <si>
    <t>Install up to 5,000 additional charging stations along the Trans-Canada Highway and other major road networks and in Canada’s urban and rural areas</t>
  </si>
  <si>
    <t>Advance the electrification of Canadian industries through new, zero-carbon clean electricity generation and transmission systems and grid modernization</t>
  </si>
  <si>
    <t>support the transition of Indigenous communities from reliance on diesel-fueled power to clean, renewable and reliable energy by 2030</t>
  </si>
  <si>
    <t>Ensure the efficient and effective implementation of the Canadian Energy Regulator Act</t>
  </si>
  <si>
    <t>Develop a new national benefits-sharing framework for major resource projects on Indigenous territory</t>
  </si>
  <si>
    <t>Complete all flood maps in Canada</t>
  </si>
  <si>
    <t>Monitor and identify any additional assistance the Polar Continental Shelf Program may require to respond to growing demand</t>
  </si>
  <si>
    <t>If yes, please provide an explanation of how/ in what ways the indicator supports GBA+.</t>
  </si>
  <si>
    <t>CR 1</t>
  </si>
  <si>
    <t>CR 2</t>
  </si>
  <si>
    <t>CR 3</t>
  </si>
  <si>
    <r>
      <t xml:space="preserve">Branch </t>
    </r>
    <r>
      <rPr>
        <b/>
        <i/>
        <sz val="11"/>
        <color rgb="FFFF0000"/>
        <rFont val="Calibri"/>
        <family val="2"/>
        <scheme val="minor"/>
      </rPr>
      <t>OPTIONAL</t>
    </r>
  </si>
  <si>
    <t>TB Sub Indicator Identification Number</t>
  </si>
  <si>
    <t>Date   2019-20 result collected (Month/Year)</t>
  </si>
  <si>
    <r>
      <t xml:space="preserve">Methodology 
How will the indicator be measured? 
Include:
 Calculation/formula: …
 Definition(s): ... (where specific terminology is used) 
Note(s): ... (i.e. additional information on the indicator)
</t>
    </r>
    <r>
      <rPr>
        <b/>
        <sz val="11"/>
        <color rgb="FFFF0000"/>
        <rFont val="Calibri"/>
        <family val="2"/>
        <scheme val="minor"/>
      </rPr>
      <t>Sectors may also insert a link to a methodology sheet in this column.</t>
    </r>
  </si>
  <si>
    <t>PLACEHOLDER</t>
  </si>
  <si>
    <t>Establishing 2021-22 target</t>
  </si>
  <si>
    <t>Please provide justification for the proposed target if it is less ambitious than the previous years` actuals</t>
  </si>
  <si>
    <t>Data Type</t>
  </si>
  <si>
    <r>
      <t>The Prime Minister has made it clear that Gender Based Analysis Plus (GBA+) is a key Government of Canada priority, reflected most recently in the ministerial mandate letters which include the following direction, "We are committed to evidence-based</t>
    </r>
    <r>
      <rPr>
        <b/>
        <sz val="12"/>
        <rFont val="Calibri"/>
        <family val="2"/>
        <scheme val="minor"/>
      </rPr>
      <t xml:space="preserve"> decision-making that takes into consideration t</t>
    </r>
    <r>
      <rPr>
        <sz val="12"/>
        <rFont val="Calibri"/>
        <family val="2"/>
        <scheme val="minor"/>
      </rPr>
      <t>he</t>
    </r>
    <r>
      <rPr>
        <b/>
        <sz val="12"/>
        <rFont val="Calibri"/>
        <family val="2"/>
        <scheme val="minor"/>
      </rPr>
      <t xml:space="preserve"> impacts</t>
    </r>
    <r>
      <rPr>
        <sz val="12"/>
        <rFont val="Calibri"/>
        <family val="2"/>
        <scheme val="minor"/>
      </rPr>
      <t xml:space="preserve"> of policies </t>
    </r>
    <r>
      <rPr>
        <b/>
        <sz val="12"/>
        <rFont val="Calibri"/>
        <family val="2"/>
        <scheme val="minor"/>
      </rPr>
      <t xml:space="preserve">on all Canadians </t>
    </r>
    <r>
      <rPr>
        <sz val="12"/>
        <rFont val="Calibri"/>
        <family val="2"/>
        <scheme val="minor"/>
      </rPr>
      <t>and fully defends the Canadian Charter of Rights and Freedoms.</t>
    </r>
    <r>
      <rPr>
        <b/>
        <sz val="12"/>
        <rFont val="Calibri"/>
        <family val="2"/>
        <scheme val="minor"/>
      </rPr>
      <t xml:space="preserve"> You will apply Gender-based Analysis Plus (GBA+) in the decisions that you make </t>
    </r>
    <r>
      <rPr>
        <sz val="12"/>
        <rFont val="Calibri"/>
        <family val="2"/>
        <scheme val="minor"/>
      </rPr>
      <t xml:space="preserve">"and budget letter from the Minister of Finance which requested that all proposals be informed by a GBA+ sufficiently rigorous to inform budget decision making. In addition, the Canadian Gender Budgeting Act passed by Parliament in December 2018, enshrines into law the Government’s commitment to decision-making that takes into consideration and reports on the impacts of policies and program on all Canadians, recognizing in its preamble that improved gender and diversity information and analysis contribute to improved, evidence-based decision-making. As such, there is an increasing demand for departments to track, monitor and evaluate progress on GBA+ implementation, as well as  the performance of their programs with regard to GBA+ impacts after implementation. This is made evident by the growing  number of and increasingly substantive annual GBA+ reporting requirements, including: the GBA+ Implementation Survey, the Departmental Plan (GBA+ now included in planning highlights as well as the GBA+ Supplementary Information Table) and the Departmental Results Report.
The purpose of the GBA+ section of the Performance Information Profile (PIP) template is to support a department wide systematic approach to the tracking, monitoring and measuring of GBA+ impacts and progress with implementation, and to contribute to a more efficient approach to GBA+ reporting. The GBA+ section of the PIP template integrates and streamlines the major elements of existing government wide annual GBA+ reporting requirements typically tasked to sectors by SPI on behalf of Central Agencies and OGDs, including the: 
• Annual GBA+ Implementation Survey led by TBS, PCO and WAGE 
• Departmental Plan (Planning highlights and GBA+ Supplementary Information Table) 
• Departmental Results Report (GBA+ Supplementary Information Table)
In addition to supporting a department wide systematic approach to tracking, monitoring and measuring GBA+ impacts and progress, the objective of the information provided by sectors in the GBA+ tab is to enable SPI to the extent possible to complete the government/department wide GBA+ reporting requirements on behalf of sectors and to limit the  number of tasking related to the above GBA+ reporting requirements to Mid and End of year updates. 
</t>
    </r>
  </si>
  <si>
    <r>
      <rPr>
        <b/>
        <sz val="12"/>
        <rFont val="Calibri"/>
        <family val="2"/>
        <scheme val="minor"/>
      </rPr>
      <t>How to Complete the GBA+ Tab</t>
    </r>
    <r>
      <rPr>
        <sz val="12"/>
        <rFont val="Calibri"/>
        <family val="2"/>
        <scheme val="minor"/>
      </rPr>
      <t xml:space="preserve">
In addition to mandatory GBA+ requirements attached to budget and cabinet processes, central agencies have made it clear that GBA+ impacts need to be reported on for all programs as identified in the program inventory, as per section five of the Canadian Gender Budgeting Act. This includes transfer payment programs. Therefore, sectors are asked to </t>
    </r>
    <r>
      <rPr>
        <b/>
        <sz val="12"/>
        <rFont val="Calibri"/>
        <family val="2"/>
        <scheme val="minor"/>
      </rPr>
      <t xml:space="preserve">complete the GBA+ tab </t>
    </r>
    <r>
      <rPr>
        <sz val="12"/>
        <rFont val="Calibri"/>
        <family val="2"/>
        <scheme val="minor"/>
      </rPr>
      <t xml:space="preserve">for </t>
    </r>
    <r>
      <rPr>
        <b/>
        <sz val="12"/>
        <rFont val="Calibri"/>
        <family val="2"/>
        <scheme val="minor"/>
      </rPr>
      <t xml:space="preserve">all </t>
    </r>
    <r>
      <rPr>
        <sz val="12"/>
        <rFont val="Calibri"/>
        <family val="2"/>
        <scheme val="minor"/>
      </rPr>
      <t xml:space="preserve">of their respective </t>
    </r>
    <r>
      <rPr>
        <b/>
        <sz val="12"/>
        <rFont val="Calibri"/>
        <family val="2"/>
        <scheme val="minor"/>
      </rPr>
      <t>inventory programs</t>
    </r>
    <r>
      <rPr>
        <sz val="12"/>
        <rFont val="Calibri"/>
        <family val="2"/>
        <scheme val="minor"/>
      </rPr>
      <t xml:space="preserve">. Additional tables have been provided within the GBA+ tab to enable sectors to report on each of their respective programs. If sectors require additional tables, they are encouraged to copy and paste the table as many times as required within the GBA+ tab. 
Sectors should </t>
    </r>
    <r>
      <rPr>
        <b/>
        <sz val="12"/>
        <rFont val="Calibri"/>
        <family val="2"/>
        <scheme val="minor"/>
      </rPr>
      <t xml:space="preserve">populate </t>
    </r>
    <r>
      <rPr>
        <sz val="12"/>
        <rFont val="Calibri"/>
        <family val="2"/>
        <scheme val="minor"/>
      </rPr>
      <t xml:space="preserve">the GBA+ tab </t>
    </r>
    <r>
      <rPr>
        <b/>
        <sz val="12"/>
        <rFont val="Calibri"/>
        <family val="2"/>
        <scheme val="minor"/>
      </rPr>
      <t>based on the entire program outlined by the PIP/program identified by the program inventory.</t>
    </r>
    <r>
      <rPr>
        <sz val="12"/>
        <rFont val="Calibri"/>
        <family val="2"/>
        <scheme val="minor"/>
      </rPr>
      <t xml:space="preserve"> </t>
    </r>
    <r>
      <rPr>
        <b/>
        <sz val="12"/>
        <rFont val="Calibri"/>
        <family val="2"/>
        <scheme val="minor"/>
      </rPr>
      <t>Where</t>
    </r>
    <r>
      <rPr>
        <sz val="12"/>
        <rFont val="Calibri"/>
        <family val="2"/>
        <scheme val="minor"/>
      </rPr>
      <t xml:space="preserve"> a program has </t>
    </r>
    <r>
      <rPr>
        <b/>
        <sz val="12"/>
        <rFont val="Calibri"/>
        <family val="2"/>
        <scheme val="minor"/>
      </rPr>
      <t>transfer payment programs and/or initiatives</t>
    </r>
    <r>
      <rPr>
        <sz val="12"/>
        <rFont val="Calibri"/>
        <family val="2"/>
        <scheme val="minor"/>
      </rPr>
      <t xml:space="preserve"> under its umbrella, sectors are asked to </t>
    </r>
    <r>
      <rPr>
        <b/>
        <sz val="12"/>
        <rFont val="Calibri"/>
        <family val="2"/>
        <scheme val="minor"/>
      </rPr>
      <t>treat the PIP program</t>
    </r>
    <r>
      <rPr>
        <sz val="12"/>
        <rFont val="Calibri"/>
        <family val="2"/>
        <scheme val="minor"/>
      </rPr>
      <t xml:space="preserve"> </t>
    </r>
    <r>
      <rPr>
        <b/>
        <sz val="12"/>
        <rFont val="Calibri"/>
        <family val="2"/>
        <scheme val="minor"/>
      </rPr>
      <t>as a chapeau</t>
    </r>
    <r>
      <rPr>
        <sz val="12"/>
        <rFont val="Calibri"/>
        <family val="2"/>
        <scheme val="minor"/>
      </rPr>
      <t xml:space="preserve"> populating the template with relevant input for each transfer payment program or initiative as applicable, clearly identifying input (including indicators) specific to certain transfer payment programs or initiatives as appropriate.
To enable SPI to complete GBA+ reporting requirements on the sector’s behalf and limit the number of related taskings, sectors are also encouraged to populate additional tables within the GBA+ tab for initiatives that do not fall under the umbrella of one of the programs as identified by the program inventory.
</t>
    </r>
  </si>
  <si>
    <r>
      <rPr>
        <b/>
        <sz val="12"/>
        <color theme="0"/>
        <rFont val="Calibri"/>
        <family val="2"/>
        <scheme val="minor"/>
      </rPr>
      <t>Program title and description</t>
    </r>
    <r>
      <rPr>
        <sz val="12"/>
        <color theme="0"/>
        <rFont val="Calibri"/>
        <family val="2"/>
        <scheme val="minor"/>
      </rPr>
      <t xml:space="preserve">
In the text box below, please clearly identify the program title and include a brief description. </t>
    </r>
  </si>
  <si>
    <r>
      <rPr>
        <b/>
        <sz val="12"/>
        <color theme="0"/>
        <rFont val="Calibri"/>
        <family val="2"/>
        <scheme val="minor"/>
      </rPr>
      <t>Section 1. (B) Monitoring and Evaluating GBA+ Implementation - Planned Initiatives</t>
    </r>
    <r>
      <rPr>
        <sz val="12"/>
        <color theme="0"/>
        <rFont val="Calibri"/>
        <family val="2"/>
        <scheme val="minor"/>
      </rPr>
      <t xml:space="preserve">
 Information provided in this section will inform reporting requirements under and be used to pre-populate (end of year updates) the </t>
    </r>
    <r>
      <rPr>
        <b/>
        <u/>
        <sz val="12"/>
        <color theme="0"/>
        <rFont val="Calibri"/>
        <family val="2"/>
        <scheme val="minor"/>
      </rPr>
      <t>Departmental Plan</t>
    </r>
    <r>
      <rPr>
        <sz val="12"/>
        <color theme="0"/>
        <rFont val="Calibri"/>
        <family val="2"/>
        <scheme val="minor"/>
      </rPr>
      <t xml:space="preserve">, including the </t>
    </r>
    <r>
      <rPr>
        <b/>
        <u/>
        <sz val="12"/>
        <color theme="0"/>
        <rFont val="Calibri"/>
        <family val="2"/>
        <scheme val="minor"/>
      </rPr>
      <t>Planning Highlight</t>
    </r>
    <r>
      <rPr>
        <b/>
        <sz val="12"/>
        <color theme="0"/>
        <rFont val="Calibri"/>
        <family val="2"/>
        <scheme val="minor"/>
      </rPr>
      <t>s</t>
    </r>
    <r>
      <rPr>
        <sz val="12"/>
        <color theme="0"/>
        <rFont val="Calibri"/>
        <family val="2"/>
        <scheme val="minor"/>
      </rPr>
      <t xml:space="preserve"> section and the </t>
    </r>
    <r>
      <rPr>
        <b/>
        <u/>
        <sz val="12"/>
        <color theme="0"/>
        <rFont val="Calibri"/>
        <family val="2"/>
        <scheme val="minor"/>
      </rPr>
      <t xml:space="preserve">GBA+ Supplementary Information Table </t>
    </r>
    <r>
      <rPr>
        <sz val="12"/>
        <color theme="0"/>
        <rFont val="Calibri"/>
        <family val="2"/>
        <scheme val="minor"/>
      </rPr>
      <t>(TBS led)  for each upcoming fiscal period. This information ill enable the Department to track, monitor and evaluate the repercussions of GBA+ on its decision-making processes, and in particular how GBA+ including past results or lessons learned is being used to facilitate equitable and inclusive outcomes for diverse Canadians through our programs.</t>
    </r>
  </si>
  <si>
    <t>[If your program does not have a logic model housed in the __ tab of the PIP template, please identify and describe other GBA+ performance metrics here, and explain why it does not have a logic model in the __ tab.]</t>
  </si>
  <si>
    <t xml:space="preserve">Additional table </t>
  </si>
  <si>
    <t>Outcome Level</t>
  </si>
  <si>
    <t>Indicator Category</t>
  </si>
  <si>
    <t xml:space="preserve">Indicator Direction </t>
  </si>
  <si>
    <t>Indicator - progressive or aggregate</t>
  </si>
  <si>
    <t>Date of Baseline (month/year)</t>
  </si>
  <si>
    <t>Date to achieve Target (month/year)</t>
  </si>
  <si>
    <t>Target Type</t>
  </si>
  <si>
    <t>Target value -minimum</t>
  </si>
  <si>
    <t>Target value - maximum</t>
  </si>
  <si>
    <t xml:space="preserve">Target value - exact </t>
  </si>
  <si>
    <t>Indicator Calculation/Formula</t>
  </si>
  <si>
    <t>Indicator Rationale (how it relates to the output or outcome; why is it relevant?)</t>
  </si>
  <si>
    <t>non-numeric</t>
  </si>
  <si>
    <t>Yes</t>
  </si>
  <si>
    <t>outcome1</t>
  </si>
  <si>
    <t>outcome2</t>
  </si>
  <si>
    <t>intermediate outcome1</t>
  </si>
  <si>
    <t>intermediate outcome1.1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</si>
</sst>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46"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0"/>
      <name val="Calibri"/>
      <family val="2"/>
      <scheme val="minor"/>
    </font>
    <font>
      <sz val="11"/>
      <color rgb="FF000000"/>
      <name val="Calibri"/>
      <family val="2"/>
      <scheme val="minor"/>
    </font>
    <font>
      <sz val="11"/>
      <name val="Calibri"/>
      <family val="2"/>
      <scheme val="minor"/>
    </font>
    <font>
      <b/>
      <sz val="9"/>
      <color indexed="81"/>
      <name val="Tahoma"/>
      <family val="2"/>
    </font>
    <font>
      <u/>
      <sz val="11"/>
      <color theme="10"/>
      <name val="Calibri"/>
      <family val="2"/>
      <scheme val="minor"/>
    </font>
    <font>
      <b/>
      <sz val="14"/>
      <color theme="0"/>
      <name val="Arial Black"/>
      <family val="2"/>
    </font>
    <font>
      <b/>
      <sz val="11"/>
      <color theme="0"/>
      <name val="Calibri"/>
      <family val="2"/>
      <scheme val="minor"/>
    </font>
    <font>
      <u/>
      <sz val="11"/>
      <color theme="0"/>
      <name val="Calibri"/>
      <family val="2"/>
      <scheme val="minor"/>
    </font>
    <font>
      <sz val="13"/>
      <color theme="0"/>
      <name val="Calibri"/>
      <family val="2"/>
      <scheme val="minor"/>
    </font>
    <font>
      <b/>
      <sz val="13"/>
      <color theme="1"/>
      <name val="Calibri"/>
      <family val="2"/>
      <scheme val="minor"/>
    </font>
    <font>
      <sz val="9"/>
      <color indexed="81"/>
      <name val="Tahoma"/>
      <family val="2"/>
    </font>
    <font>
      <b/>
      <sz val="8"/>
      <color theme="1"/>
      <name val="Century Gothic"/>
      <family val="2"/>
    </font>
    <font>
      <sz val="16"/>
      <color theme="1"/>
      <name val="Calibri"/>
      <family val="2"/>
      <scheme val="minor"/>
    </font>
    <font>
      <b/>
      <sz val="11"/>
      <color rgb="FF3F3F3F"/>
      <name val="Calibri"/>
      <family val="2"/>
      <scheme val="minor"/>
    </font>
    <font>
      <b/>
      <sz val="11"/>
      <color rgb="FFFA7D00"/>
      <name val="Calibri"/>
      <family val="2"/>
      <scheme val="minor"/>
    </font>
    <font>
      <b/>
      <sz val="11"/>
      <name val="Calibri"/>
      <family val="2"/>
      <scheme val="minor"/>
    </font>
    <font>
      <i/>
      <sz val="11"/>
      <color theme="1"/>
      <name val="Calibri"/>
      <family val="2"/>
      <scheme val="minor"/>
    </font>
    <font>
      <sz val="8"/>
      <color theme="1"/>
      <name val="Century Gothic"/>
      <family val="2"/>
    </font>
    <font>
      <sz val="11"/>
      <color theme="1"/>
      <name val="Calibri"/>
      <family val="2"/>
      <scheme val="minor"/>
    </font>
    <font>
      <b/>
      <sz val="14"/>
      <color theme="1"/>
      <name val="Arial Black"/>
      <family val="2"/>
    </font>
    <font>
      <b/>
      <sz val="12"/>
      <color theme="0"/>
      <name val="Arial Black"/>
      <family val="2"/>
    </font>
    <font>
      <b/>
      <sz val="22"/>
      <color theme="0"/>
      <name val="Calibri"/>
      <family val="2"/>
      <scheme val="minor"/>
    </font>
    <font>
      <b/>
      <sz val="12"/>
      <color theme="1"/>
      <name val="Calibri"/>
      <family val="2"/>
      <scheme val="minor"/>
    </font>
    <font>
      <b/>
      <sz val="11"/>
      <color rgb="FFFF0000"/>
      <name val="Calibri"/>
      <family val="2"/>
      <scheme val="minor"/>
    </font>
    <font>
      <b/>
      <sz val="11"/>
      <name val="Calibri"/>
      <family val="2"/>
      <scheme val="minor"/>
    </font>
    <font>
      <sz val="12"/>
      <color theme="1"/>
      <name val="Calibri"/>
      <family val="2"/>
      <scheme val="minor"/>
    </font>
    <font>
      <sz val="8"/>
      <color rgb="FF212529"/>
      <name val="Century Gothic"/>
      <family val="2"/>
    </font>
    <font>
      <b/>
      <u/>
      <sz val="16"/>
      <color theme="10"/>
      <name val="Calibri"/>
      <family val="2"/>
      <scheme val="minor"/>
    </font>
    <font>
      <b/>
      <sz val="18"/>
      <color theme="0"/>
      <name val="Arial Black"/>
      <family val="2"/>
    </font>
    <font>
      <sz val="14"/>
      <color theme="0"/>
      <name val="Arial Black"/>
      <family val="2"/>
    </font>
    <font>
      <sz val="14"/>
      <color theme="1"/>
      <name val="Arial Black"/>
      <family val="2"/>
    </font>
    <font>
      <b/>
      <sz val="12"/>
      <color theme="0"/>
      <name val="Calibri"/>
      <family val="2"/>
      <scheme val="minor"/>
    </font>
    <font>
      <sz val="12"/>
      <color theme="0"/>
      <name val="Calibri"/>
      <family val="2"/>
      <scheme val="minor"/>
    </font>
    <font>
      <b/>
      <u/>
      <sz val="12"/>
      <color theme="0"/>
      <name val="Calibri"/>
      <family val="2"/>
      <scheme val="minor"/>
    </font>
    <font>
      <b/>
      <u/>
      <sz val="11"/>
      <color theme="1"/>
      <name val="Calibri"/>
      <family val="2"/>
      <scheme val="minor"/>
    </font>
    <font>
      <u/>
      <sz val="12"/>
      <color theme="1"/>
      <name val="Calibri"/>
      <family val="2"/>
      <scheme val="minor"/>
    </font>
    <font>
      <sz val="12"/>
      <color theme="1"/>
      <name val="Calibri"/>
      <family val="2"/>
    </font>
    <font>
      <sz val="12"/>
      <name val="Calibri"/>
      <family val="2"/>
      <scheme val="minor"/>
    </font>
    <font>
      <b/>
      <sz val="12"/>
      <name val="Calibri"/>
      <family val="2"/>
      <scheme val="minor"/>
    </font>
    <font>
      <sz val="11"/>
      <color rgb="FFCC3300"/>
      <name val="Calibri"/>
      <family val="2"/>
      <scheme val="minor"/>
    </font>
    <font>
      <b/>
      <i/>
      <sz val="11"/>
      <color rgb="FFFF0000"/>
      <name val="Calibri"/>
      <family val="2"/>
      <scheme val="minor"/>
    </font>
    <font>
      <sz val="10"/>
      <name val="Calibri"/>
      <family val="2"/>
      <scheme val="minor"/>
    </font>
  </fonts>
  <fills count="31">
    <fill>
      <patternFill patternType="none"/>
    </fill>
    <fill>
      <patternFill patternType="gray125"/>
    </fill>
    <fill>
      <patternFill patternType="solid">
        <fgColor theme="0" tint="-0.499984740745262"/>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39997558519241921"/>
        <bgColor indexed="64"/>
      </patternFill>
    </fill>
    <fill>
      <patternFill patternType="solid">
        <fgColor theme="3"/>
        <bgColor indexed="64"/>
      </patternFill>
    </fill>
    <fill>
      <patternFill patternType="solid">
        <fgColor theme="8" tint="0.39997558519241921"/>
        <bgColor indexed="64"/>
      </patternFill>
    </fill>
    <fill>
      <patternFill patternType="solid">
        <fgColor theme="1" tint="0.34998626667073579"/>
        <bgColor indexed="64"/>
      </patternFill>
    </fill>
    <fill>
      <patternFill patternType="solid">
        <fgColor rgb="FFFFC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F2F2F2"/>
      </patternFill>
    </fill>
    <fill>
      <patternFill patternType="solid">
        <fgColor theme="4" tint="-0.249977111117893"/>
        <bgColor indexed="64"/>
      </patternFill>
    </fill>
    <fill>
      <patternFill patternType="solid">
        <fgColor theme="4" tint="0.79998168889431442"/>
        <bgColor indexed="64"/>
      </patternFill>
    </fill>
    <fill>
      <patternFill patternType="solid">
        <fgColor theme="0" tint="-0.14999847407452621"/>
        <bgColor theme="0" tint="-0.14999847407452621"/>
      </patternFill>
    </fill>
    <fill>
      <patternFill patternType="solid">
        <fgColor theme="1" tint="0.499984740745262"/>
        <bgColor indexed="64"/>
      </patternFill>
    </fill>
    <fill>
      <patternFill patternType="solid">
        <fgColor rgb="FF548235"/>
        <bgColor indexed="64"/>
      </patternFill>
    </fill>
    <fill>
      <patternFill patternType="solid">
        <fgColor rgb="FF44546A"/>
        <bgColor indexed="64"/>
      </patternFill>
    </fill>
    <fill>
      <patternFill patternType="solid">
        <fgColor theme="1"/>
        <bgColor indexed="64"/>
      </patternFill>
    </fill>
    <fill>
      <patternFill patternType="solid">
        <fgColor theme="1" tint="0.249977111117893"/>
        <bgColor indexed="64"/>
      </patternFill>
    </fill>
    <fill>
      <patternFill patternType="solid">
        <fgColor theme="8" tint="-0.499984740745262"/>
        <bgColor indexed="64"/>
      </patternFill>
    </fill>
    <fill>
      <patternFill patternType="solid">
        <fgColor theme="4" tint="-0.499984740745262"/>
        <bgColor indexed="64"/>
      </patternFill>
    </fill>
    <fill>
      <patternFill patternType="solid">
        <fgColor theme="4"/>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00B0F0"/>
        <bgColor indexed="64"/>
      </patternFill>
    </fill>
  </fills>
  <borders count="7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theme="1" tint="0.249977111117893"/>
      </left>
      <right style="thin">
        <color theme="1" tint="0.249977111117893"/>
      </right>
      <top style="thin">
        <color theme="1" tint="0.249977111117893"/>
      </top>
      <bottom style="thin">
        <color theme="1" tint="0.249977111117893"/>
      </bottom>
      <diagonal/>
    </border>
    <border>
      <left/>
      <right style="thin">
        <color indexed="64"/>
      </right>
      <top/>
      <bottom/>
      <diagonal/>
    </border>
    <border>
      <left style="thin">
        <color theme="1" tint="0.249977111117893"/>
      </left>
      <right/>
      <top style="thin">
        <color theme="1" tint="0.249977111117893"/>
      </top>
      <bottom style="thin">
        <color theme="1" tint="0.249977111117893"/>
      </bottom>
      <diagonal/>
    </border>
    <border>
      <left/>
      <right style="thin">
        <color theme="1" tint="0.249977111117893"/>
      </right>
      <top style="thin">
        <color theme="1" tint="0.249977111117893"/>
      </top>
      <bottom style="thin">
        <color theme="1" tint="0.249977111117893"/>
      </bottom>
      <diagonal/>
    </border>
    <border>
      <left/>
      <right/>
      <top style="thin">
        <color theme="1" tint="0.249977111117893"/>
      </top>
      <bottom style="thin">
        <color theme="1" tint="0.249977111117893"/>
      </bottom>
      <diagonal/>
    </border>
    <border>
      <left/>
      <right style="thin">
        <color indexed="64"/>
      </right>
      <top style="thin">
        <color theme="1" tint="0.249977111117893"/>
      </top>
      <bottom style="thin">
        <color indexed="64"/>
      </bottom>
      <diagonal/>
    </border>
    <border>
      <left style="thin">
        <color indexed="64"/>
      </left>
      <right/>
      <top style="thin">
        <color theme="1" tint="0.249977111117893"/>
      </top>
      <bottom style="thin">
        <color indexed="64"/>
      </bottom>
      <diagonal/>
    </border>
    <border>
      <left/>
      <right/>
      <top style="thin">
        <color theme="1" tint="0.249977111117893"/>
      </top>
      <bottom style="thin">
        <color indexed="64"/>
      </bottom>
      <diagonal/>
    </border>
    <border>
      <left style="thin">
        <color indexed="64"/>
      </left>
      <right/>
      <top/>
      <bottom style="thin">
        <color theme="1" tint="0.249977111117893"/>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right/>
      <top/>
      <bottom style="thin">
        <color theme="1"/>
      </bottom>
      <diagonal/>
    </border>
    <border>
      <left/>
      <right/>
      <top style="thin">
        <color theme="1"/>
      </top>
      <bottom/>
      <diagonal/>
    </border>
    <border>
      <left style="thin">
        <color theme="1" tint="0.249977111117893"/>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theme="1" tint="0.249977111117893"/>
      </top>
      <bottom/>
      <diagonal/>
    </border>
    <border>
      <left style="thin">
        <color theme="1" tint="0.249977111117893"/>
      </left>
      <right style="thin">
        <color theme="1" tint="0.249977111117893"/>
      </right>
      <top style="thin">
        <color theme="1" tint="0.249977111117893"/>
      </top>
      <bottom/>
      <diagonal/>
    </border>
    <border>
      <left/>
      <right/>
      <top/>
      <bottom style="thin">
        <color indexed="64"/>
      </bottom>
      <diagonal/>
    </border>
    <border>
      <left style="thin">
        <color theme="1" tint="0.249977111117893"/>
      </left>
      <right style="thin">
        <color theme="1" tint="0.249977111117893"/>
      </right>
      <top/>
      <bottom style="thin">
        <color theme="1" tint="0.249977111117893"/>
      </bottom>
      <diagonal/>
    </border>
    <border>
      <left style="thin">
        <color theme="1" tint="0.249977111117893"/>
      </left>
      <right/>
      <top/>
      <bottom style="thin">
        <color theme="1" tint="0.249977111117893"/>
      </bottom>
      <diagonal/>
    </border>
    <border>
      <left style="thin">
        <color theme="1" tint="0.249977111117893"/>
      </left>
      <right/>
      <top style="thin">
        <color theme="1" tint="0.249977111117893"/>
      </top>
      <bottom/>
      <diagonal/>
    </border>
    <border>
      <left style="thin">
        <color theme="1" tint="0.249977111117893"/>
      </left>
      <right/>
      <top style="thin">
        <color theme="1" tint="0.249977111117893"/>
      </top>
      <bottom style="medium">
        <color indexed="64"/>
      </bottom>
      <diagonal/>
    </border>
    <border>
      <left/>
      <right/>
      <top style="thin">
        <color theme="1" tint="0.249977111117893"/>
      </top>
      <bottom style="medium">
        <color indexed="64"/>
      </bottom>
      <diagonal/>
    </border>
    <border>
      <left/>
      <right style="thin">
        <color theme="1" tint="0.249977111117893"/>
      </right>
      <top style="thin">
        <color theme="1" tint="0.249977111117893"/>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1" tint="0.249977111117893"/>
      </right>
      <top style="medium">
        <color indexed="64"/>
      </top>
      <bottom/>
      <diagonal/>
    </border>
    <border>
      <left style="thin">
        <color theme="1" tint="0.249977111117893"/>
      </left>
      <right style="thin">
        <color theme="1" tint="0.249977111117893"/>
      </right>
      <top style="medium">
        <color indexed="64"/>
      </top>
      <bottom/>
      <diagonal/>
    </border>
    <border>
      <left style="thin">
        <color theme="1" tint="0.249977111117893"/>
      </left>
      <right style="medium">
        <color indexed="64"/>
      </right>
      <top style="medium">
        <color indexed="64"/>
      </top>
      <bottom/>
      <diagonal/>
    </border>
    <border>
      <left style="medium">
        <color indexed="64"/>
      </left>
      <right style="thin">
        <color theme="1" tint="0.249977111117893"/>
      </right>
      <top style="thin">
        <color theme="1" tint="0.249977111117893"/>
      </top>
      <bottom/>
      <diagonal/>
    </border>
    <border>
      <left style="medium">
        <color indexed="64"/>
      </left>
      <right style="thin">
        <color theme="1" tint="0.249977111117893"/>
      </right>
      <top/>
      <bottom style="thin">
        <color theme="1" tint="0.249977111117893"/>
      </bottom>
      <diagonal/>
    </border>
    <border>
      <left style="medium">
        <color indexed="64"/>
      </left>
      <right/>
      <top style="thin">
        <color theme="1" tint="0.249977111117893"/>
      </top>
      <bottom style="thin">
        <color theme="1" tint="0.249977111117893"/>
      </bottom>
      <diagonal/>
    </border>
    <border>
      <left/>
      <right style="thin">
        <color indexed="64"/>
      </right>
      <top style="thin">
        <color theme="1" tint="0.249977111117893"/>
      </top>
      <bottom style="thin">
        <color theme="1" tint="0.249977111117893"/>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0" fontId="8" fillId="0" borderId="0" applyNumberFormat="0" applyFill="0" applyBorder="0" applyAlignment="0" applyProtection="0"/>
    <xf numFmtId="0" fontId="17" fillId="12" borderId="23" applyNumberFormat="0" applyAlignment="0" applyProtection="0"/>
    <xf numFmtId="0" fontId="18" fillId="12" borderId="22" applyNumberFormat="0" applyAlignment="0" applyProtection="0"/>
  </cellStyleXfs>
  <cellXfs count="358">
    <xf numFmtId="0" fontId="0" fillId="0" borderId="0" xfId="0"/>
    <xf numFmtId="0" fontId="3" fillId="8" borderId="0" xfId="0" applyFont="1" applyFill="1" applyAlignment="1" applyProtection="1">
      <alignment horizontal="center" vertical="center"/>
    </xf>
    <xf numFmtId="0" fontId="2" fillId="0" borderId="0" xfId="0" applyFont="1" applyProtection="1"/>
    <xf numFmtId="0" fontId="0" fillId="0" borderId="0" xfId="0" applyFont="1" applyProtection="1"/>
    <xf numFmtId="0" fontId="2" fillId="0" borderId="0" xfId="0" applyFont="1" applyAlignment="1" applyProtection="1">
      <alignment vertical="center"/>
    </xf>
    <xf numFmtId="0" fontId="2" fillId="0" borderId="0" xfId="0" applyFont="1" applyAlignment="1"/>
    <xf numFmtId="0" fontId="0" fillId="0" borderId="0" xfId="0" applyFont="1" applyAlignment="1" applyProtection="1">
      <alignment wrapText="1"/>
    </xf>
    <xf numFmtId="0" fontId="2" fillId="0" borderId="0" xfId="0" applyFont="1" applyAlignment="1" applyProtection="1"/>
    <xf numFmtId="0" fontId="2" fillId="10" borderId="0" xfId="0" applyFont="1" applyFill="1" applyAlignment="1" applyProtection="1">
      <alignment wrapText="1"/>
    </xf>
    <xf numFmtId="0" fontId="2" fillId="10" borderId="0" xfId="0" applyFont="1" applyFill="1" applyProtection="1"/>
    <xf numFmtId="0" fontId="0" fillId="0" borderId="0" xfId="0"/>
    <xf numFmtId="0" fontId="3" fillId="0" borderId="0" xfId="0" applyFont="1" applyProtection="1"/>
    <xf numFmtId="0" fontId="2" fillId="0" borderId="0" xfId="0" applyFont="1" applyProtection="1"/>
    <xf numFmtId="0" fontId="2" fillId="0" borderId="0" xfId="0" applyFont="1" applyFill="1" applyBorder="1" applyProtection="1"/>
    <xf numFmtId="0" fontId="0" fillId="0" borderId="0" xfId="0" applyFont="1" applyProtection="1"/>
    <xf numFmtId="0" fontId="2" fillId="0" borderId="0" xfId="0" applyFont="1" applyAlignment="1" applyProtection="1">
      <alignment vertical="center"/>
    </xf>
    <xf numFmtId="0" fontId="2" fillId="0" borderId="0" xfId="0" applyFont="1" applyFill="1" applyBorder="1" applyAlignment="1" applyProtection="1">
      <alignment vertical="center"/>
    </xf>
    <xf numFmtId="0" fontId="2" fillId="0" borderId="0" xfId="0" applyFont="1" applyBorder="1" applyAlignment="1" applyProtection="1">
      <alignment vertical="center"/>
    </xf>
    <xf numFmtId="0" fontId="2" fillId="0" borderId="0" xfId="0" applyFont="1" applyBorder="1" applyProtection="1"/>
    <xf numFmtId="0" fontId="2" fillId="0" borderId="10" xfId="0" applyFont="1" applyBorder="1" applyAlignment="1" applyProtection="1">
      <alignment vertical="center"/>
    </xf>
    <xf numFmtId="0" fontId="2" fillId="0" borderId="12" xfId="0" applyFont="1" applyBorder="1" applyProtection="1"/>
    <xf numFmtId="0" fontId="2" fillId="0" borderId="12" xfId="0" applyFont="1" applyBorder="1" applyAlignment="1" applyProtection="1">
      <alignment vertical="center"/>
    </xf>
    <xf numFmtId="0" fontId="2" fillId="0" borderId="3" xfId="0" applyFont="1" applyBorder="1" applyProtection="1"/>
    <xf numFmtId="0" fontId="3" fillId="0" borderId="2" xfId="0" applyFont="1" applyBorder="1" applyProtection="1"/>
    <xf numFmtId="0" fontId="2" fillId="0" borderId="3" xfId="0" applyFont="1" applyBorder="1" applyAlignment="1" applyProtection="1">
      <alignment vertical="center"/>
    </xf>
    <xf numFmtId="0" fontId="3" fillId="3" borderId="3" xfId="0" applyFont="1" applyFill="1" applyBorder="1" applyAlignment="1"/>
    <xf numFmtId="0" fontId="2" fillId="0" borderId="1" xfId="0" quotePrefix="1" applyFont="1" applyBorder="1" applyAlignment="1"/>
    <xf numFmtId="0" fontId="2" fillId="0" borderId="12" xfId="0" applyFont="1" applyBorder="1" applyAlignment="1"/>
    <xf numFmtId="0" fontId="2" fillId="0" borderId="1" xfId="0" applyFont="1" applyBorder="1" applyAlignment="1"/>
    <xf numFmtId="0" fontId="2" fillId="0" borderId="12" xfId="0" applyFont="1" applyFill="1" applyBorder="1" applyAlignment="1"/>
    <xf numFmtId="0" fontId="3" fillId="3" borderId="2" xfId="0" applyFont="1" applyFill="1" applyBorder="1" applyAlignment="1"/>
    <xf numFmtId="0" fontId="2" fillId="0" borderId="3" xfId="0" applyFont="1" applyFill="1" applyBorder="1" applyAlignment="1"/>
    <xf numFmtId="0" fontId="3" fillId="0" borderId="2" xfId="0" applyFont="1" applyBorder="1" applyAlignment="1"/>
    <xf numFmtId="0" fontId="2" fillId="5" borderId="12" xfId="0" quotePrefix="1" applyFont="1" applyFill="1" applyBorder="1" applyAlignment="1"/>
    <xf numFmtId="0" fontId="2" fillId="0" borderId="3" xfId="0" applyFont="1" applyBorder="1" applyAlignment="1"/>
    <xf numFmtId="0" fontId="3" fillId="3" borderId="0" xfId="0" applyFont="1" applyFill="1" applyBorder="1" applyAlignment="1"/>
    <xf numFmtId="0" fontId="2" fillId="0" borderId="0" xfId="0" applyFont="1" applyAlignment="1"/>
    <xf numFmtId="0" fontId="2" fillId="0" borderId="0" xfId="0" applyFont="1" applyAlignment="1" applyProtection="1"/>
    <xf numFmtId="0" fontId="2" fillId="0" borderId="12" xfId="0" quotePrefix="1" applyFont="1" applyBorder="1" applyAlignment="1"/>
    <xf numFmtId="0" fontId="3" fillId="5" borderId="12" xfId="0" applyFont="1" applyFill="1" applyBorder="1" applyAlignment="1"/>
    <xf numFmtId="0" fontId="3" fillId="0" borderId="0" xfId="0" applyFont="1" applyBorder="1" applyAlignment="1" applyProtection="1">
      <alignment vertical="center"/>
    </xf>
    <xf numFmtId="0" fontId="2" fillId="3" borderId="12" xfId="0" quotePrefix="1" applyFont="1" applyFill="1" applyBorder="1" applyAlignment="1"/>
    <xf numFmtId="0" fontId="3" fillId="0" borderId="12" xfId="0" applyFont="1" applyBorder="1" applyAlignment="1" applyProtection="1">
      <alignment vertical="center"/>
    </xf>
    <xf numFmtId="0" fontId="3" fillId="0" borderId="12" xfId="0" applyFont="1" applyBorder="1" applyProtection="1"/>
    <xf numFmtId="0" fontId="2" fillId="0" borderId="0" xfId="0" quotePrefix="1" applyFont="1" applyBorder="1" applyAlignment="1"/>
    <xf numFmtId="0" fontId="2" fillId="0" borderId="0" xfId="0" applyFont="1" applyBorder="1" applyAlignment="1"/>
    <xf numFmtId="0" fontId="2" fillId="0" borderId="0" xfId="0" applyFont="1" applyFill="1" applyBorder="1" applyAlignment="1"/>
    <xf numFmtId="0" fontId="3" fillId="0" borderId="0" xfId="0" applyFont="1" applyBorder="1" applyAlignment="1"/>
    <xf numFmtId="0" fontId="2" fillId="5" borderId="0" xfId="0" quotePrefix="1" applyFont="1" applyFill="1" applyBorder="1" applyAlignment="1"/>
    <xf numFmtId="0" fontId="2" fillId="3" borderId="8" xfId="0" quotePrefix="1" applyFont="1" applyFill="1" applyBorder="1" applyAlignment="1"/>
    <xf numFmtId="0" fontId="2" fillId="3" borderId="9" xfId="0" quotePrefix="1" applyFont="1" applyFill="1" applyBorder="1" applyAlignment="1"/>
    <xf numFmtId="0" fontId="2" fillId="0" borderId="11" xfId="0" applyFont="1" applyBorder="1" applyAlignment="1"/>
    <xf numFmtId="0" fontId="2" fillId="0" borderId="14" xfId="0" applyFont="1" applyBorder="1" applyAlignment="1"/>
    <xf numFmtId="0" fontId="2" fillId="0" borderId="5" xfId="0" applyFont="1" applyBorder="1" applyAlignment="1" applyProtection="1">
      <alignment vertical="center"/>
    </xf>
    <xf numFmtId="0" fontId="2" fillId="0" borderId="1" xfId="0" applyFont="1" applyBorder="1" applyAlignment="1" applyProtection="1">
      <alignment vertical="center"/>
    </xf>
    <xf numFmtId="0" fontId="3" fillId="0" borderId="1" xfId="0" applyFont="1" applyBorder="1" applyAlignment="1" applyProtection="1">
      <alignment vertical="center"/>
    </xf>
    <xf numFmtId="0" fontId="3" fillId="0" borderId="0" xfId="0" applyFont="1" applyFill="1" applyBorder="1" applyAlignment="1"/>
    <xf numFmtId="0" fontId="2" fillId="0" borderId="0" xfId="0" quotePrefix="1" applyFont="1" applyFill="1" applyBorder="1" applyAlignment="1"/>
    <xf numFmtId="0" fontId="3" fillId="0" borderId="0" xfId="0" applyFont="1" applyFill="1" applyBorder="1" applyAlignment="1" applyProtection="1">
      <alignment vertical="center"/>
    </xf>
    <xf numFmtId="0" fontId="3" fillId="0" borderId="1" xfId="0" applyFont="1" applyFill="1" applyBorder="1" applyAlignment="1"/>
    <xf numFmtId="0" fontId="0" fillId="11" borderId="0" xfId="0" applyFill="1"/>
    <xf numFmtId="0" fontId="15" fillId="0" borderId="0" xfId="0" applyFont="1"/>
    <xf numFmtId="0" fontId="6" fillId="0" borderId="0" xfId="0" applyFont="1" applyAlignment="1">
      <alignment vertical="center"/>
    </xf>
    <xf numFmtId="0" fontId="6" fillId="0" borderId="0" xfId="0" applyFont="1"/>
    <xf numFmtId="0" fontId="1" fillId="0" borderId="0" xfId="0" applyFont="1"/>
    <xf numFmtId="0" fontId="2" fillId="4" borderId="0" xfId="0" applyFont="1" applyFill="1" applyProtection="1"/>
    <xf numFmtId="0" fontId="2" fillId="4" borderId="0" xfId="0" applyFont="1" applyFill="1" applyAlignment="1" applyProtection="1">
      <alignment wrapText="1"/>
    </xf>
    <xf numFmtId="0" fontId="17" fillId="7" borderId="24" xfId="2" applyFill="1" applyBorder="1" applyAlignment="1" applyProtection="1">
      <alignment horizontal="center" vertical="center" wrapText="1"/>
    </xf>
    <xf numFmtId="0" fontId="17" fillId="7" borderId="24" xfId="2" applyFill="1" applyBorder="1" applyAlignment="1" applyProtection="1">
      <alignment horizontal="center" vertical="center"/>
    </xf>
    <xf numFmtId="0" fontId="19" fillId="0" borderId="2" xfId="3" applyFont="1" applyFill="1" applyBorder="1" applyAlignment="1">
      <alignment vertical="center" wrapText="1"/>
    </xf>
    <xf numFmtId="0" fontId="2" fillId="0" borderId="14" xfId="0" quotePrefix="1" applyFont="1" applyBorder="1" applyAlignment="1"/>
    <xf numFmtId="0" fontId="0" fillId="0" borderId="25" xfId="0" applyFont="1" applyBorder="1"/>
    <xf numFmtId="0" fontId="0" fillId="15" borderId="0" xfId="0" applyFont="1" applyFill="1"/>
    <xf numFmtId="0" fontId="0" fillId="0" borderId="0" xfId="0" applyFont="1"/>
    <xf numFmtId="0" fontId="1" fillId="0" borderId="26" xfId="0" applyFont="1" applyBorder="1"/>
    <xf numFmtId="0" fontId="0" fillId="15" borderId="26" xfId="0" applyFont="1" applyFill="1" applyBorder="1"/>
    <xf numFmtId="0" fontId="0" fillId="0" borderId="2" xfId="0" applyBorder="1" applyAlignment="1">
      <alignment horizontal="center"/>
    </xf>
    <xf numFmtId="0" fontId="4" fillId="16" borderId="2" xfId="0" applyFont="1" applyFill="1" applyBorder="1" applyAlignment="1">
      <alignment horizontal="center"/>
    </xf>
    <xf numFmtId="0" fontId="0" fillId="0" borderId="0" xfId="0" applyBorder="1" applyAlignment="1">
      <alignment horizontal="center"/>
    </xf>
    <xf numFmtId="0" fontId="0" fillId="0" borderId="0" xfId="0" applyAlignment="1">
      <alignment wrapText="1"/>
    </xf>
    <xf numFmtId="0" fontId="0" fillId="0" borderId="0" xfId="0"/>
    <xf numFmtId="0" fontId="6" fillId="7" borderId="2" xfId="0" applyFont="1" applyFill="1" applyBorder="1" applyAlignment="1" applyProtection="1">
      <alignment horizontal="center" vertical="center" wrapText="1"/>
    </xf>
    <xf numFmtId="0" fontId="19" fillId="4" borderId="2" xfId="3" applyFont="1" applyFill="1" applyBorder="1" applyAlignment="1">
      <alignment horizontal="center" vertical="center" wrapText="1"/>
    </xf>
    <xf numFmtId="0" fontId="6" fillId="7" borderId="21" xfId="0" applyFont="1" applyFill="1" applyBorder="1" applyAlignment="1" applyProtection="1">
      <alignment horizontal="center" vertical="center" wrapText="1" readingOrder="1"/>
    </xf>
    <xf numFmtId="0" fontId="6" fillId="7" borderId="37" xfId="0" applyFont="1" applyFill="1" applyBorder="1" applyAlignment="1" applyProtection="1">
      <alignment horizontal="center" vertical="center" wrapText="1" readingOrder="1"/>
    </xf>
    <xf numFmtId="0" fontId="6" fillId="7" borderId="37" xfId="0" applyFont="1" applyFill="1" applyBorder="1" applyAlignment="1" applyProtection="1">
      <alignment horizontal="center" vertical="center" wrapText="1"/>
    </xf>
    <xf numFmtId="0" fontId="21" fillId="0" borderId="0" xfId="0" applyFont="1"/>
    <xf numFmtId="0" fontId="0" fillId="0" borderId="0" xfId="0" applyFill="1" applyBorder="1"/>
    <xf numFmtId="0" fontId="23" fillId="10" borderId="0" xfId="0" applyFont="1" applyFill="1" applyAlignment="1" applyProtection="1">
      <alignment wrapText="1"/>
    </xf>
    <xf numFmtId="0" fontId="8" fillId="10" borderId="0" xfId="1" applyFill="1" applyAlignment="1" applyProtection="1">
      <alignment vertical="top" wrapText="1"/>
    </xf>
    <xf numFmtId="0" fontId="0" fillId="14" borderId="7" xfId="0" applyFont="1" applyFill="1" applyBorder="1" applyAlignment="1" applyProtection="1">
      <alignment vertical="center" wrapText="1"/>
      <protection locked="0"/>
    </xf>
    <xf numFmtId="0" fontId="0" fillId="14" borderId="31" xfId="0" applyFont="1" applyFill="1" applyBorder="1" applyAlignment="1" applyProtection="1">
      <alignment vertical="center" wrapText="1"/>
      <protection locked="0"/>
    </xf>
    <xf numFmtId="0" fontId="6" fillId="0" borderId="29" xfId="1" applyFont="1" applyFill="1" applyBorder="1" applyAlignment="1">
      <alignment horizontal="center" wrapText="1"/>
    </xf>
    <xf numFmtId="0" fontId="0" fillId="10" borderId="0" xfId="0" applyFont="1" applyFill="1" applyProtection="1"/>
    <xf numFmtId="0" fontId="1" fillId="10" borderId="0" xfId="0" applyFont="1" applyFill="1" applyProtection="1"/>
    <xf numFmtId="0" fontId="2" fillId="10" borderId="0" xfId="0" applyFont="1" applyFill="1" applyAlignment="1" applyProtection="1">
      <alignment vertical="center"/>
    </xf>
    <xf numFmtId="0" fontId="8" fillId="10" borderId="0" xfId="1" applyFill="1" applyAlignment="1" applyProtection="1">
      <alignment wrapText="1"/>
    </xf>
    <xf numFmtId="0" fontId="0" fillId="0" borderId="0" xfId="0" applyAlignment="1">
      <alignment horizontal="center"/>
    </xf>
    <xf numFmtId="0" fontId="27" fillId="0" borderId="0" xfId="0" applyFont="1"/>
    <xf numFmtId="0" fontId="19" fillId="0" borderId="0" xfId="0" applyFont="1" applyAlignment="1">
      <alignment wrapText="1"/>
    </xf>
    <xf numFmtId="0" fontId="0" fillId="0" borderId="12" xfId="0" applyFont="1" applyBorder="1" applyProtection="1"/>
    <xf numFmtId="0" fontId="25" fillId="22" borderId="0" xfId="0" applyFont="1" applyFill="1" applyAlignment="1">
      <alignment horizontal="center"/>
    </xf>
    <xf numFmtId="0" fontId="28" fillId="0" borderId="0" xfId="0" applyFont="1" applyAlignment="1">
      <alignment wrapText="1"/>
    </xf>
    <xf numFmtId="0" fontId="29" fillId="24" borderId="2" xfId="0" applyFont="1" applyFill="1" applyBorder="1" applyAlignment="1">
      <alignment horizontal="center" vertical="center"/>
    </xf>
    <xf numFmtId="0" fontId="29" fillId="4" borderId="2" xfId="0" applyFont="1" applyFill="1" applyBorder="1" applyAlignment="1">
      <alignment horizontal="center" vertical="center" wrapText="1"/>
    </xf>
    <xf numFmtId="0" fontId="29" fillId="0" borderId="2" xfId="0" applyFont="1" applyBorder="1" applyAlignment="1">
      <alignment horizontal="center" vertical="center"/>
    </xf>
    <xf numFmtId="0" fontId="0" fillId="0" borderId="2" xfId="0" applyBorder="1" applyAlignment="1">
      <alignment horizontal="center" vertical="center"/>
    </xf>
    <xf numFmtId="0" fontId="29" fillId="0" borderId="2" xfId="0" applyFont="1" applyBorder="1" applyAlignment="1">
      <alignment horizontal="center" vertical="center" wrapText="1"/>
    </xf>
    <xf numFmtId="0" fontId="0" fillId="0" borderId="2" xfId="0" applyBorder="1"/>
    <xf numFmtId="0" fontId="0" fillId="0" borderId="2" xfId="0" applyBorder="1" applyAlignment="1">
      <alignment vertical="top" wrapText="1"/>
    </xf>
    <xf numFmtId="0" fontId="20" fillId="0" borderId="2" xfId="0" applyFont="1" applyBorder="1" applyAlignment="1">
      <alignment vertical="top"/>
    </xf>
    <xf numFmtId="14" fontId="20" fillId="0" borderId="2" xfId="0" applyNumberFormat="1" applyFont="1" applyBorder="1" applyAlignment="1">
      <alignment horizontal="center" vertical="top"/>
    </xf>
    <xf numFmtId="0" fontId="20" fillId="0" borderId="2" xfId="0" applyFont="1" applyBorder="1" applyAlignment="1">
      <alignment horizontal="center" vertical="top" wrapText="1"/>
    </xf>
    <xf numFmtId="0" fontId="21" fillId="0" borderId="0" xfId="0" quotePrefix="1" applyFont="1"/>
    <xf numFmtId="0" fontId="30" fillId="0" borderId="0" xfId="0" applyFont="1" applyAlignment="1">
      <alignment horizontal="left" vertical="center"/>
    </xf>
    <xf numFmtId="0" fontId="30" fillId="0" borderId="0" xfId="0" quotePrefix="1" applyFont="1" applyAlignment="1">
      <alignment horizontal="left" vertical="center"/>
    </xf>
    <xf numFmtId="0" fontId="16" fillId="0" borderId="0" xfId="0" applyFont="1"/>
    <xf numFmtId="0" fontId="31" fillId="0" borderId="0" xfId="1" applyFont="1"/>
    <xf numFmtId="0" fontId="0" fillId="25" borderId="2" xfId="0" applyFill="1" applyBorder="1"/>
    <xf numFmtId="0" fontId="0" fillId="0" borderId="3" xfId="0" applyBorder="1"/>
    <xf numFmtId="0" fontId="0" fillId="0" borderId="1" xfId="0" applyBorder="1"/>
    <xf numFmtId="0" fontId="43" fillId="0" borderId="0" xfId="0" applyFont="1"/>
    <xf numFmtId="0" fontId="19" fillId="0" borderId="2" xfId="3" applyFont="1" applyFill="1" applyBorder="1" applyAlignment="1">
      <alignment wrapText="1"/>
    </xf>
    <xf numFmtId="0" fontId="45" fillId="0" borderId="2" xfId="0" applyFont="1" applyFill="1" applyBorder="1" applyAlignment="1" applyProtection="1">
      <alignment wrapText="1"/>
    </xf>
    <xf numFmtId="0" fontId="6" fillId="0" borderId="2" xfId="0" applyFont="1" applyFill="1" applyBorder="1" applyAlignment="1">
      <alignment wrapText="1"/>
    </xf>
    <xf numFmtId="0" fontId="45" fillId="4" borderId="2" xfId="0" applyFont="1" applyFill="1" applyBorder="1" applyAlignment="1" applyProtection="1">
      <alignment wrapText="1"/>
    </xf>
    <xf numFmtId="0" fontId="1" fillId="11" borderId="0" xfId="0" applyFont="1" applyFill="1"/>
    <xf numFmtId="0" fontId="6" fillId="0" borderId="2" xfId="3" applyFont="1" applyFill="1" applyBorder="1" applyAlignment="1">
      <alignment vertical="center" wrapText="1"/>
    </xf>
    <xf numFmtId="0" fontId="6" fillId="0" borderId="2" xfId="3" applyFont="1" applyFill="1" applyBorder="1" applyAlignment="1">
      <alignment wrapText="1"/>
    </xf>
    <xf numFmtId="0" fontId="6" fillId="4" borderId="2" xfId="3" applyFont="1" applyFill="1" applyBorder="1" applyAlignment="1">
      <alignment horizontal="center" vertical="center" wrapText="1"/>
    </xf>
    <xf numFmtId="0" fontId="0" fillId="4" borderId="39" xfId="0" applyFill="1" applyBorder="1" applyAlignment="1">
      <alignment horizontal="center"/>
    </xf>
    <xf numFmtId="0" fontId="0" fillId="4" borderId="0" xfId="0" applyFill="1"/>
    <xf numFmtId="164" fontId="6" fillId="4" borderId="6" xfId="0" applyNumberFormat="1" applyFont="1" applyFill="1" applyBorder="1" applyAlignment="1" applyProtection="1">
      <alignment horizontal="center" wrapText="1" readingOrder="1"/>
    </xf>
    <xf numFmtId="164" fontId="6" fillId="4" borderId="7" xfId="0" applyNumberFormat="1" applyFont="1" applyFill="1" applyBorder="1" applyAlignment="1" applyProtection="1">
      <alignment horizontal="center" wrapText="1" readingOrder="1"/>
    </xf>
    <xf numFmtId="164" fontId="6" fillId="4" borderId="4" xfId="0" applyNumberFormat="1" applyFont="1" applyFill="1" applyBorder="1" applyAlignment="1" applyProtection="1">
      <alignment horizontal="center" wrapText="1" readingOrder="1"/>
    </xf>
    <xf numFmtId="0" fontId="6" fillId="4" borderId="15" xfId="0" applyFont="1" applyFill="1" applyBorder="1" applyAlignment="1" applyProtection="1">
      <alignment horizontal="center" vertical="center" wrapText="1"/>
    </xf>
    <xf numFmtId="0" fontId="6" fillId="4" borderId="17" xfId="0" applyFont="1" applyFill="1" applyBorder="1" applyAlignment="1" applyProtection="1">
      <alignment horizontal="center" vertical="center" wrapText="1"/>
    </xf>
    <xf numFmtId="0" fontId="6" fillId="4" borderId="16" xfId="0" applyFont="1" applyFill="1" applyBorder="1" applyAlignment="1" applyProtection="1">
      <alignment horizontal="center" vertical="center" wrapText="1"/>
    </xf>
    <xf numFmtId="0" fontId="4" fillId="2" borderId="15" xfId="0" applyFont="1" applyFill="1" applyBorder="1" applyAlignment="1" applyProtection="1">
      <alignment horizontal="center" vertical="center" wrapText="1"/>
    </xf>
    <xf numFmtId="0" fontId="4" fillId="2" borderId="17" xfId="0" applyFont="1" applyFill="1" applyBorder="1" applyAlignment="1" applyProtection="1">
      <alignment horizontal="center" vertical="center" wrapText="1"/>
    </xf>
    <xf numFmtId="0" fontId="4" fillId="2" borderId="16" xfId="0" applyFont="1" applyFill="1" applyBorder="1" applyAlignment="1" applyProtection="1">
      <alignment horizontal="center" vertical="center" wrapText="1"/>
    </xf>
    <xf numFmtId="0" fontId="9" fillId="6" borderId="13" xfId="0" applyFont="1" applyFill="1" applyBorder="1" applyAlignment="1" applyProtection="1">
      <alignment horizontal="center" vertical="center" wrapText="1" readingOrder="1"/>
    </xf>
    <xf numFmtId="14" fontId="0" fillId="0" borderId="15" xfId="0" applyNumberFormat="1" applyFont="1" applyBorder="1" applyAlignment="1" applyProtection="1">
      <alignment horizontal="center" wrapText="1"/>
      <protection locked="0"/>
    </xf>
    <xf numFmtId="14" fontId="0" fillId="0" borderId="16" xfId="0" applyNumberFormat="1" applyFont="1" applyBorder="1" applyAlignment="1" applyProtection="1">
      <alignment horizontal="center" wrapText="1"/>
      <protection locked="0"/>
    </xf>
    <xf numFmtId="0" fontId="4" fillId="2" borderId="15" xfId="0" applyFont="1" applyFill="1" applyBorder="1" applyAlignment="1" applyProtection="1">
      <alignment horizontal="center" vertical="center" wrapText="1" shrinkToFit="1"/>
      <protection locked="0"/>
    </xf>
    <xf numFmtId="0" fontId="4" fillId="2" borderId="17" xfId="0" applyFont="1" applyFill="1" applyBorder="1" applyAlignment="1" applyProtection="1">
      <alignment horizontal="center" vertical="center" wrapText="1" shrinkToFit="1"/>
      <protection locked="0"/>
    </xf>
    <xf numFmtId="0" fontId="4" fillId="2" borderId="16" xfId="0" applyFont="1" applyFill="1" applyBorder="1" applyAlignment="1" applyProtection="1">
      <alignment horizontal="center" vertical="center" wrapText="1" shrinkToFit="1"/>
      <protection locked="0"/>
    </xf>
    <xf numFmtId="0" fontId="0" fillId="4" borderId="15" xfId="0" applyFont="1" applyFill="1" applyBorder="1" applyAlignment="1" applyProtection="1">
      <alignment horizontal="center" vertical="center" wrapText="1" shrinkToFit="1"/>
      <protection locked="0"/>
    </xf>
    <xf numFmtId="0" fontId="0" fillId="4" borderId="17" xfId="0" applyFont="1" applyFill="1" applyBorder="1" applyAlignment="1" applyProtection="1">
      <alignment horizontal="center" vertical="center" wrapText="1" shrinkToFit="1"/>
      <protection locked="0"/>
    </xf>
    <xf numFmtId="0" fontId="0" fillId="4" borderId="16" xfId="0" applyFont="1" applyFill="1" applyBorder="1" applyAlignment="1" applyProtection="1">
      <alignment horizontal="center" vertical="center" wrapText="1" shrinkToFit="1"/>
      <protection locked="0"/>
    </xf>
    <xf numFmtId="0" fontId="9" fillId="6" borderId="2" xfId="0" applyFont="1" applyFill="1" applyBorder="1" applyAlignment="1" applyProtection="1">
      <alignment horizontal="center" vertical="center" wrapText="1" readingOrder="1"/>
    </xf>
    <xf numFmtId="0" fontId="0" fillId="0" borderId="13" xfId="0" applyFont="1" applyFill="1" applyBorder="1" applyAlignment="1" applyProtection="1">
      <alignment horizontal="left" vertical="center" wrapText="1" readingOrder="1"/>
    </xf>
    <xf numFmtId="0" fontId="12" fillId="2" borderId="13" xfId="0" applyFont="1" applyFill="1" applyBorder="1" applyAlignment="1" applyProtection="1">
      <alignment horizontal="right" vertical="center" shrinkToFit="1" readingOrder="1"/>
    </xf>
    <xf numFmtId="0" fontId="4" fillId="2" borderId="13" xfId="0" applyFont="1" applyFill="1" applyBorder="1" applyAlignment="1" applyProtection="1">
      <alignment horizontal="center" vertical="center" wrapText="1" readingOrder="1"/>
    </xf>
    <xf numFmtId="0" fontId="13" fillId="0" borderId="40" xfId="0" applyFont="1" applyFill="1" applyBorder="1" applyAlignment="1" applyProtection="1">
      <alignment horizontal="left" vertical="center" wrapText="1" readingOrder="1"/>
    </xf>
    <xf numFmtId="0" fontId="12" fillId="2" borderId="40" xfId="0" applyFont="1" applyFill="1" applyBorder="1" applyAlignment="1" applyProtection="1">
      <alignment horizontal="right" vertical="center" shrinkToFit="1" readingOrder="1"/>
    </xf>
    <xf numFmtId="0" fontId="13" fillId="0" borderId="13" xfId="0" applyFont="1" applyFill="1" applyBorder="1" applyAlignment="1" applyProtection="1">
      <alignment horizontal="left" vertical="center" wrapText="1" readingOrder="1"/>
    </xf>
    <xf numFmtId="0" fontId="6" fillId="4" borderId="6" xfId="0" applyFont="1" applyFill="1" applyBorder="1" applyAlignment="1" applyProtection="1">
      <alignment horizontal="center" shrinkToFit="1" readingOrder="1"/>
    </xf>
    <xf numFmtId="0" fontId="6" fillId="4" borderId="4" xfId="0" applyFont="1" applyFill="1" applyBorder="1" applyAlignment="1" applyProtection="1">
      <alignment horizontal="center" shrinkToFit="1" readingOrder="1"/>
    </xf>
    <xf numFmtId="0" fontId="4" fillId="6" borderId="13" xfId="0" applyFont="1" applyFill="1" applyBorder="1" applyAlignment="1" applyProtection="1">
      <alignment horizontal="center" vertical="center" wrapText="1" readingOrder="1"/>
    </xf>
    <xf numFmtId="0" fontId="4" fillId="2" borderId="15" xfId="0" applyFont="1" applyFill="1" applyBorder="1" applyAlignment="1" applyProtection="1">
      <alignment horizontal="center" vertical="center" wrapText="1" readingOrder="1"/>
    </xf>
    <xf numFmtId="0" fontId="4" fillId="2" borderId="16" xfId="0" applyFont="1" applyFill="1" applyBorder="1" applyAlignment="1" applyProtection="1">
      <alignment horizontal="center" vertical="center" wrapText="1" readingOrder="1"/>
    </xf>
    <xf numFmtId="0" fontId="0" fillId="0" borderId="15" xfId="0" applyFont="1" applyFill="1" applyBorder="1" applyAlignment="1" applyProtection="1">
      <alignment horizontal="center" vertical="center" wrapText="1" readingOrder="1"/>
    </xf>
    <xf numFmtId="0" fontId="0" fillId="0" borderId="17" xfId="0" applyFont="1" applyFill="1" applyBorder="1" applyAlignment="1" applyProtection="1">
      <alignment horizontal="center" vertical="center" wrapText="1" readingOrder="1"/>
    </xf>
    <xf numFmtId="0" fontId="0" fillId="4" borderId="6" xfId="0" applyFont="1" applyFill="1" applyBorder="1" applyAlignment="1" applyProtection="1">
      <alignment horizontal="left" vertical="center" wrapText="1" readingOrder="1"/>
    </xf>
    <xf numFmtId="0" fontId="0" fillId="4" borderId="7" xfId="0" applyFont="1" applyFill="1" applyBorder="1" applyAlignment="1" applyProtection="1">
      <alignment horizontal="left" vertical="center" wrapText="1" readingOrder="1"/>
    </xf>
    <xf numFmtId="0" fontId="0" fillId="4" borderId="4" xfId="0" applyFont="1" applyFill="1" applyBorder="1" applyAlignment="1" applyProtection="1">
      <alignment horizontal="left" vertical="center" wrapText="1" readingOrder="1"/>
    </xf>
    <xf numFmtId="0" fontId="9" fillId="6" borderId="38" xfId="0" applyFont="1" applyFill="1" applyBorder="1" applyAlignment="1" applyProtection="1">
      <alignment horizontal="center" vertical="center" wrapText="1" readingOrder="1"/>
    </xf>
    <xf numFmtId="0" fontId="0" fillId="0" borderId="13" xfId="0" applyFont="1" applyFill="1" applyBorder="1" applyAlignment="1" applyProtection="1">
      <alignment horizontal="center" vertical="center" wrapText="1" readingOrder="1"/>
      <protection locked="0"/>
    </xf>
    <xf numFmtId="0" fontId="0" fillId="0" borderId="15" xfId="0" applyFont="1" applyFill="1" applyBorder="1" applyAlignment="1" applyProtection="1">
      <alignment horizontal="center" vertical="center" wrapText="1" shrinkToFit="1" readingOrder="1"/>
      <protection locked="0"/>
    </xf>
    <xf numFmtId="0" fontId="0" fillId="0" borderId="17" xfId="0" applyFont="1" applyFill="1" applyBorder="1" applyAlignment="1" applyProtection="1">
      <alignment horizontal="center" vertical="center" wrapText="1" shrinkToFit="1" readingOrder="1"/>
      <protection locked="0"/>
    </xf>
    <xf numFmtId="0" fontId="0" fillId="0" borderId="16" xfId="0" applyFont="1" applyFill="1" applyBorder="1" applyAlignment="1" applyProtection="1">
      <alignment horizontal="center" vertical="center" wrapText="1" shrinkToFit="1" readingOrder="1"/>
      <protection locked="0"/>
    </xf>
    <xf numFmtId="0" fontId="4" fillId="6" borderId="6" xfId="1" applyFont="1" applyFill="1" applyBorder="1" applyAlignment="1" applyProtection="1">
      <alignment horizontal="center" vertical="center" wrapText="1" readingOrder="1"/>
    </xf>
    <xf numFmtId="0" fontId="4" fillId="6" borderId="7" xfId="1" applyFont="1" applyFill="1" applyBorder="1" applyAlignment="1" applyProtection="1">
      <alignment horizontal="center" vertical="center" wrapText="1" readingOrder="1"/>
    </xf>
    <xf numFmtId="0" fontId="4" fillId="6" borderId="4" xfId="1" applyFont="1" applyFill="1" applyBorder="1" applyAlignment="1" applyProtection="1">
      <alignment horizontal="center" vertical="center" wrapText="1" readingOrder="1"/>
    </xf>
    <xf numFmtId="0" fontId="4" fillId="2" borderId="17" xfId="0" applyFont="1" applyFill="1" applyBorder="1" applyAlignment="1" applyProtection="1">
      <alignment horizontal="center" vertical="center" wrapText="1" readingOrder="1"/>
    </xf>
    <xf numFmtId="0" fontId="6" fillId="4" borderId="19" xfId="0" applyFont="1" applyFill="1" applyBorder="1" applyAlignment="1" applyProtection="1">
      <alignment horizontal="left" vertical="top" wrapText="1" readingOrder="1"/>
      <protection locked="0"/>
    </xf>
    <xf numFmtId="0" fontId="6" fillId="4" borderId="20" xfId="0" applyFont="1" applyFill="1" applyBorder="1" applyAlignment="1" applyProtection="1">
      <alignment horizontal="left" vertical="top" wrapText="1" readingOrder="1"/>
      <protection locked="0"/>
    </xf>
    <xf numFmtId="0" fontId="6" fillId="4" borderId="18" xfId="0" applyFont="1" applyFill="1" applyBorder="1" applyAlignment="1" applyProtection="1">
      <alignment horizontal="left" vertical="top" wrapText="1" readingOrder="1"/>
      <protection locked="0"/>
    </xf>
    <xf numFmtId="0" fontId="6" fillId="7" borderId="6" xfId="0" applyFont="1" applyFill="1" applyBorder="1" applyAlignment="1" applyProtection="1">
      <alignment horizontal="center" vertical="center" wrapText="1"/>
    </xf>
    <xf numFmtId="0" fontId="6" fillId="7" borderId="4" xfId="0" applyFont="1" applyFill="1" applyBorder="1" applyAlignment="1" applyProtection="1">
      <alignment horizontal="center" vertical="center" wrapText="1"/>
    </xf>
    <xf numFmtId="0" fontId="4" fillId="13" borderId="6" xfId="0" applyFont="1" applyFill="1" applyBorder="1" applyAlignment="1" applyProtection="1">
      <alignment horizontal="center" vertical="center" wrapText="1" readingOrder="1"/>
      <protection locked="0"/>
    </xf>
    <xf numFmtId="0" fontId="4" fillId="13" borderId="7" xfId="0" applyFont="1" applyFill="1" applyBorder="1" applyAlignment="1" applyProtection="1">
      <alignment horizontal="center" vertical="center" wrapText="1" readingOrder="1"/>
      <protection locked="0"/>
    </xf>
    <xf numFmtId="0" fontId="4" fillId="13" borderId="4" xfId="0" applyFont="1" applyFill="1" applyBorder="1" applyAlignment="1" applyProtection="1">
      <alignment horizontal="center" vertical="center" wrapText="1" readingOrder="1"/>
      <protection locked="0"/>
    </xf>
    <xf numFmtId="0" fontId="6" fillId="5" borderId="6" xfId="0" applyFont="1" applyFill="1" applyBorder="1" applyAlignment="1" applyProtection="1">
      <alignment horizontal="center" vertical="center" wrapText="1"/>
      <protection locked="0"/>
    </xf>
    <xf numFmtId="0" fontId="6" fillId="5" borderId="7" xfId="0" applyFont="1" applyFill="1" applyBorder="1" applyAlignment="1" applyProtection="1">
      <alignment horizontal="center" vertical="center" wrapText="1"/>
      <protection locked="0"/>
    </xf>
    <xf numFmtId="0" fontId="6" fillId="5" borderId="4" xfId="0" applyFont="1" applyFill="1" applyBorder="1" applyAlignment="1" applyProtection="1">
      <alignment horizontal="center" vertical="center" wrapText="1"/>
      <protection locked="0"/>
    </xf>
    <xf numFmtId="0" fontId="6" fillId="3" borderId="2" xfId="0" applyFont="1" applyFill="1" applyBorder="1" applyAlignment="1" applyProtection="1">
      <alignment horizontal="center" vertical="top" wrapText="1"/>
      <protection locked="0"/>
    </xf>
    <xf numFmtId="0" fontId="6" fillId="3" borderId="6" xfId="0" applyFont="1" applyFill="1" applyBorder="1" applyAlignment="1" applyProtection="1">
      <alignment horizontal="center" vertical="top" wrapText="1"/>
      <protection locked="0"/>
    </xf>
    <xf numFmtId="0" fontId="6" fillId="3" borderId="4" xfId="0" applyFont="1" applyFill="1" applyBorder="1" applyAlignment="1" applyProtection="1">
      <alignment horizontal="center" vertical="top" wrapText="1"/>
      <protection locked="0"/>
    </xf>
    <xf numFmtId="0" fontId="32" fillId="6" borderId="0" xfId="0" applyFont="1" applyFill="1" applyBorder="1" applyAlignment="1" applyProtection="1">
      <alignment horizontal="center" vertical="center" wrapText="1"/>
    </xf>
    <xf numFmtId="0" fontId="0" fillId="0" borderId="6" xfId="0" applyBorder="1" applyAlignment="1">
      <alignment horizontal="center" vertical="top"/>
    </xf>
    <xf numFmtId="0" fontId="0" fillId="0" borderId="7" xfId="0" applyBorder="1" applyAlignment="1">
      <alignment horizontal="center" vertical="top"/>
    </xf>
    <xf numFmtId="0" fontId="0" fillId="0" borderId="4" xfId="0" applyBorder="1" applyAlignment="1">
      <alignment horizontal="center" vertical="top"/>
    </xf>
    <xf numFmtId="0" fontId="0" fillId="14" borderId="6" xfId="0" applyFill="1" applyBorder="1" applyAlignment="1">
      <alignment horizontal="center" vertical="top" wrapText="1"/>
    </xf>
    <xf numFmtId="0" fontId="0" fillId="14" borderId="7" xfId="0" applyFill="1" applyBorder="1" applyAlignment="1">
      <alignment horizontal="center" vertical="top" wrapText="1"/>
    </xf>
    <xf numFmtId="0" fontId="0" fillId="14" borderId="4" xfId="0" applyFill="1" applyBorder="1" applyAlignment="1">
      <alignment horizontal="center" vertical="top" wrapText="1"/>
    </xf>
    <xf numFmtId="0" fontId="0" fillId="24" borderId="6" xfId="0" applyFill="1" applyBorder="1" applyAlignment="1">
      <alignment horizontal="center" vertical="top" wrapText="1"/>
    </xf>
    <xf numFmtId="0" fontId="0" fillId="24" borderId="7" xfId="0" applyFill="1" applyBorder="1" applyAlignment="1">
      <alignment horizontal="center" vertical="top" wrapText="1"/>
    </xf>
    <xf numFmtId="0" fontId="0" fillId="24" borderId="4" xfId="0" applyFill="1" applyBorder="1" applyAlignment="1">
      <alignment horizontal="center" vertical="top" wrapText="1"/>
    </xf>
    <xf numFmtId="0" fontId="0" fillId="0" borderId="2" xfId="0" applyBorder="1" applyAlignment="1">
      <alignment horizontal="left" vertical="top"/>
    </xf>
    <xf numFmtId="0" fontId="34" fillId="23" borderId="6" xfId="0" applyFont="1" applyFill="1" applyBorder="1" applyAlignment="1">
      <alignment horizontal="center" wrapText="1"/>
    </xf>
    <xf numFmtId="0" fontId="16" fillId="23" borderId="7" xfId="0" applyFont="1" applyFill="1" applyBorder="1" applyAlignment="1">
      <alignment horizontal="center" wrapText="1"/>
    </xf>
    <xf numFmtId="0" fontId="29" fillId="14" borderId="6" xfId="0" applyFont="1" applyFill="1" applyBorder="1" applyAlignment="1">
      <alignment horizontal="center" vertical="center"/>
    </xf>
    <xf numFmtId="0" fontId="29" fillId="14" borderId="7" xfId="0" applyFont="1" applyFill="1" applyBorder="1" applyAlignment="1">
      <alignment horizontal="center" vertical="center"/>
    </xf>
    <xf numFmtId="0" fontId="29" fillId="14" borderId="4" xfId="0" applyFont="1" applyFill="1" applyBorder="1" applyAlignment="1">
      <alignment horizontal="center" vertical="center"/>
    </xf>
    <xf numFmtId="0" fontId="29" fillId="0" borderId="6" xfId="0" applyFont="1" applyBorder="1" applyAlignment="1">
      <alignment horizontal="center" vertical="center" wrapText="1"/>
    </xf>
    <xf numFmtId="0" fontId="29" fillId="0" borderId="7" xfId="0" applyFont="1" applyBorder="1" applyAlignment="1">
      <alignment horizontal="center" vertical="center" wrapText="1"/>
    </xf>
    <xf numFmtId="0" fontId="0" fillId="24" borderId="2" xfId="0" applyFill="1" applyBorder="1" applyAlignment="1">
      <alignment horizontal="center" vertical="top" wrapText="1"/>
    </xf>
    <xf numFmtId="0" fontId="0" fillId="14" borderId="2" xfId="0" applyFill="1" applyBorder="1" applyAlignment="1">
      <alignment horizontal="center" vertical="top" wrapText="1"/>
    </xf>
    <xf numFmtId="0" fontId="20" fillId="0" borderId="2" xfId="0" applyFont="1" applyBorder="1" applyAlignment="1">
      <alignment horizontal="center" vertical="top"/>
    </xf>
    <xf numFmtId="0" fontId="5" fillId="0" borderId="6" xfId="0" applyFont="1" applyFill="1" applyBorder="1" applyAlignment="1" applyProtection="1">
      <alignment horizontal="left" vertical="top" wrapText="1" readingOrder="1"/>
      <protection locked="0"/>
    </xf>
    <xf numFmtId="0" fontId="5" fillId="0" borderId="7" xfId="0" applyFont="1" applyFill="1" applyBorder="1" applyAlignment="1" applyProtection="1">
      <alignment horizontal="left" vertical="top" wrapText="1" readingOrder="1"/>
      <protection locked="0"/>
    </xf>
    <xf numFmtId="0" fontId="5" fillId="0" borderId="4" xfId="0" applyFont="1" applyFill="1" applyBorder="1" applyAlignment="1" applyProtection="1">
      <alignment horizontal="left" vertical="top" wrapText="1" readingOrder="1"/>
      <protection locked="0"/>
    </xf>
    <xf numFmtId="0" fontId="0" fillId="0" borderId="6" xfId="0" applyBorder="1" applyAlignment="1">
      <alignment horizontal="left" vertical="top"/>
    </xf>
    <xf numFmtId="0" fontId="0" fillId="0" borderId="7" xfId="0" applyBorder="1" applyAlignment="1">
      <alignment horizontal="left" vertical="top"/>
    </xf>
    <xf numFmtId="0" fontId="0" fillId="0" borderId="4" xfId="0" applyBorder="1" applyAlignment="1">
      <alignment horizontal="left" vertical="top"/>
    </xf>
    <xf numFmtId="0" fontId="4" fillId="2" borderId="2" xfId="0" applyFont="1" applyFill="1" applyBorder="1" applyAlignment="1" applyProtection="1">
      <alignment horizontal="center" vertical="center" wrapText="1" readingOrder="1"/>
    </xf>
    <xf numFmtId="0" fontId="0" fillId="11" borderId="2" xfId="0" applyFill="1" applyBorder="1" applyAlignment="1">
      <alignment horizontal="left" vertical="top"/>
    </xf>
    <xf numFmtId="0" fontId="33" fillId="6" borderId="10" xfId="0" applyFont="1" applyFill="1" applyBorder="1" applyAlignment="1" applyProtection="1">
      <alignment horizontal="center" vertical="center" wrapText="1"/>
    </xf>
    <xf numFmtId="0" fontId="33" fillId="6" borderId="39" xfId="0" applyFont="1" applyFill="1" applyBorder="1" applyAlignment="1" applyProtection="1">
      <alignment horizontal="center" vertical="center" wrapText="1"/>
    </xf>
    <xf numFmtId="0" fontId="4" fillId="2" borderId="8" xfId="0" applyFont="1" applyFill="1" applyBorder="1" applyAlignment="1" applyProtection="1">
      <alignment horizontal="center" vertical="center" wrapText="1"/>
    </xf>
    <xf numFmtId="0" fontId="4" fillId="2" borderId="62" xfId="0" applyFont="1" applyFill="1" applyBorder="1" applyAlignment="1" applyProtection="1">
      <alignment horizontal="center" vertical="center" wrapText="1"/>
    </xf>
    <xf numFmtId="0" fontId="4" fillId="2" borderId="9" xfId="0" applyFont="1" applyFill="1" applyBorder="1" applyAlignment="1" applyProtection="1">
      <alignment horizontal="center" vertical="center" wrapText="1"/>
    </xf>
    <xf numFmtId="0" fontId="5" fillId="11" borderId="6" xfId="0" applyFont="1" applyFill="1" applyBorder="1" applyAlignment="1" applyProtection="1">
      <alignment horizontal="center" vertical="center" wrapText="1" readingOrder="1"/>
      <protection locked="0"/>
    </xf>
    <xf numFmtId="0" fontId="5" fillId="11" borderId="7" xfId="0" applyFont="1" applyFill="1" applyBorder="1" applyAlignment="1" applyProtection="1">
      <alignment horizontal="center" vertical="center" wrapText="1" readingOrder="1"/>
      <protection locked="0"/>
    </xf>
    <xf numFmtId="0" fontId="5" fillId="11" borderId="4" xfId="0" applyFont="1" applyFill="1" applyBorder="1" applyAlignment="1" applyProtection="1">
      <alignment horizontal="center" vertical="center" wrapText="1" readingOrder="1"/>
      <protection locked="0"/>
    </xf>
    <xf numFmtId="0" fontId="0" fillId="0" borderId="2" xfId="0" applyBorder="1" applyAlignment="1">
      <alignment horizontal="center"/>
    </xf>
    <xf numFmtId="0" fontId="10" fillId="4" borderId="6" xfId="0" applyFont="1" applyFill="1" applyBorder="1" applyAlignment="1" applyProtection="1">
      <alignment horizontal="center" vertical="center" wrapText="1" readingOrder="1"/>
    </xf>
    <xf numFmtId="0" fontId="10" fillId="4" borderId="7" xfId="0" applyFont="1" applyFill="1" applyBorder="1" applyAlignment="1" applyProtection="1">
      <alignment horizontal="center" vertical="center" wrapText="1" readingOrder="1"/>
    </xf>
    <xf numFmtId="0" fontId="10" fillId="4" borderId="4" xfId="0" applyFont="1" applyFill="1" applyBorder="1" applyAlignment="1" applyProtection="1">
      <alignment horizontal="center" vertical="center" wrapText="1" readingOrder="1"/>
    </xf>
    <xf numFmtId="0" fontId="5" fillId="0" borderId="2" xfId="0" applyFont="1" applyFill="1" applyBorder="1" applyAlignment="1" applyProtection="1">
      <alignment horizontal="center" vertical="center" wrapText="1" readingOrder="1"/>
      <protection locked="0"/>
    </xf>
    <xf numFmtId="0" fontId="4" fillId="2" borderId="2" xfId="0" applyFont="1" applyFill="1" applyBorder="1" applyAlignment="1" applyProtection="1">
      <alignment horizontal="center" vertical="center" wrapText="1"/>
    </xf>
    <xf numFmtId="0" fontId="11" fillId="17" borderId="0" xfId="1" applyFont="1" applyFill="1" applyAlignment="1">
      <alignment horizontal="center"/>
    </xf>
    <xf numFmtId="0" fontId="4" fillId="16" borderId="2" xfId="0" applyFont="1" applyFill="1" applyBorder="1" applyAlignment="1">
      <alignment horizontal="center"/>
    </xf>
    <xf numFmtId="0" fontId="4" fillId="18" borderId="0" xfId="0" applyFont="1" applyFill="1" applyAlignment="1">
      <alignment horizontal="center"/>
    </xf>
    <xf numFmtId="0" fontId="4" fillId="6" borderId="27" xfId="0" applyFont="1" applyFill="1" applyBorder="1" applyAlignment="1" applyProtection="1">
      <alignment horizontal="center" vertical="center" wrapText="1" readingOrder="1"/>
    </xf>
    <xf numFmtId="0" fontId="4" fillId="6" borderId="0" xfId="0" applyFont="1" applyFill="1" applyBorder="1" applyAlignment="1" applyProtection="1">
      <alignment horizontal="center" vertical="center" wrapText="1" readingOrder="1"/>
    </xf>
    <xf numFmtId="0" fontId="10" fillId="22" borderId="0" xfId="0" applyFont="1" applyFill="1" applyAlignment="1">
      <alignment horizontal="center"/>
    </xf>
    <xf numFmtId="0" fontId="29" fillId="26" borderId="6" xfId="0" applyFont="1" applyFill="1" applyBorder="1" applyAlignment="1">
      <alignment horizontal="left" vertical="top" wrapText="1"/>
    </xf>
    <xf numFmtId="0" fontId="29" fillId="26" borderId="7" xfId="0" applyFont="1" applyFill="1" applyBorder="1" applyAlignment="1">
      <alignment horizontal="left" vertical="top" wrapText="1"/>
    </xf>
    <xf numFmtId="0" fontId="29" fillId="26" borderId="4" xfId="0" applyFont="1" applyFill="1" applyBorder="1" applyAlignment="1">
      <alignment horizontal="left" vertical="top" wrapText="1"/>
    </xf>
    <xf numFmtId="0" fontId="29" fillId="4" borderId="6" xfId="0" applyFont="1" applyFill="1" applyBorder="1" applyAlignment="1">
      <alignment horizontal="left" vertical="top" wrapText="1"/>
    </xf>
    <xf numFmtId="0" fontId="29" fillId="4" borderId="7" xfId="0" applyFont="1" applyFill="1" applyBorder="1" applyAlignment="1">
      <alignment horizontal="left" vertical="top" wrapText="1"/>
    </xf>
    <xf numFmtId="0" fontId="29" fillId="4" borderId="4" xfId="0" applyFont="1" applyFill="1" applyBorder="1" applyAlignment="1">
      <alignment horizontal="left" vertical="top" wrapText="1"/>
    </xf>
    <xf numFmtId="0" fontId="36" fillId="6" borderId="6" xfId="0" applyFont="1" applyFill="1" applyBorder="1" applyAlignment="1">
      <alignment horizontal="left" vertical="top" wrapText="1"/>
    </xf>
    <xf numFmtId="0" fontId="29" fillId="6" borderId="7" xfId="0" applyFont="1" applyFill="1" applyBorder="1" applyAlignment="1">
      <alignment horizontal="left" vertical="top" wrapText="1"/>
    </xf>
    <xf numFmtId="0" fontId="29" fillId="6" borderId="4" xfId="0" applyFont="1" applyFill="1" applyBorder="1" applyAlignment="1">
      <alignment horizontal="left" vertical="top" wrapText="1"/>
    </xf>
    <xf numFmtId="0" fontId="29" fillId="26" borderId="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7" xfId="0" applyFill="1" applyBorder="1" applyAlignment="1">
      <alignment horizontal="left" vertical="top" wrapText="1"/>
    </xf>
    <xf numFmtId="0" fontId="0" fillId="4" borderId="4" xfId="0" applyFill="1" applyBorder="1" applyAlignment="1">
      <alignment horizontal="left" vertical="top" wrapText="1"/>
    </xf>
    <xf numFmtId="0" fontId="35" fillId="6" borderId="2" xfId="0" applyFont="1" applyFill="1" applyBorder="1" applyAlignment="1">
      <alignment horizontal="left" vertical="top" wrapText="1"/>
    </xf>
    <xf numFmtId="0" fontId="10" fillId="22" borderId="39" xfId="0" applyFont="1" applyFill="1" applyBorder="1" applyAlignment="1">
      <alignment horizontal="center"/>
    </xf>
    <xf numFmtId="0" fontId="41" fillId="7" borderId="2" xfId="0" applyFont="1" applyFill="1" applyBorder="1" applyAlignment="1">
      <alignment horizontal="left" vertical="top" wrapText="1"/>
    </xf>
    <xf numFmtId="0" fontId="0" fillId="7" borderId="2" xfId="0" applyFill="1" applyBorder="1" applyAlignment="1">
      <alignment horizontal="left" vertical="top"/>
    </xf>
    <xf numFmtId="0" fontId="41" fillId="27" borderId="2" xfId="0" applyFont="1" applyFill="1" applyBorder="1" applyAlignment="1">
      <alignment horizontal="left" vertical="top" wrapText="1"/>
    </xf>
    <xf numFmtId="0" fontId="36" fillId="6" borderId="6" xfId="0" applyFont="1" applyFill="1" applyBorder="1" applyAlignment="1">
      <alignment vertical="top" wrapText="1"/>
    </xf>
    <xf numFmtId="0" fontId="36" fillId="6" borderId="7" xfId="0" applyFont="1" applyFill="1" applyBorder="1" applyAlignment="1">
      <alignment vertical="top" wrapText="1"/>
    </xf>
    <xf numFmtId="0" fontId="36" fillId="6" borderId="4" xfId="0" applyFont="1" applyFill="1" applyBorder="1" applyAlignment="1">
      <alignment vertical="top" wrapText="1"/>
    </xf>
    <xf numFmtId="0" fontId="41" fillId="4" borderId="2" xfId="0" applyFont="1" applyFill="1" applyBorder="1" applyAlignment="1">
      <alignment horizontal="left" vertical="top" wrapText="1"/>
    </xf>
    <xf numFmtId="0" fontId="35" fillId="6" borderId="2" xfId="0" applyFont="1" applyFill="1" applyBorder="1" applyAlignment="1">
      <alignment horizontal="left" vertical="top"/>
    </xf>
    <xf numFmtId="0" fontId="0" fillId="26" borderId="2" xfId="0" applyFill="1" applyBorder="1" applyAlignment="1">
      <alignment horizontal="left" vertical="top" wrapText="1"/>
    </xf>
    <xf numFmtId="0" fontId="0" fillId="4" borderId="2" xfId="0" applyFill="1" applyBorder="1" applyAlignment="1">
      <alignment horizontal="left" vertical="top" wrapText="1"/>
    </xf>
    <xf numFmtId="0" fontId="29" fillId="6" borderId="2" xfId="0" applyFont="1" applyFill="1" applyBorder="1" applyAlignment="1">
      <alignment horizontal="left" vertical="top" wrapText="1"/>
    </xf>
    <xf numFmtId="0" fontId="0" fillId="0" borderId="2" xfId="0" applyBorder="1" applyAlignment="1">
      <alignment horizontal="left" vertical="top" wrapText="1"/>
    </xf>
    <xf numFmtId="0" fontId="0" fillId="30" borderId="2" xfId="0" applyFill="1" applyBorder="1" applyAlignment="1">
      <alignment horizontal="center"/>
    </xf>
    <xf numFmtId="0" fontId="0" fillId="4" borderId="6"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4" xfId="0" applyFont="1" applyFill="1" applyBorder="1" applyAlignment="1">
      <alignment horizontal="left" vertical="top" wrapText="1"/>
    </xf>
    <xf numFmtId="0" fontId="0" fillId="6" borderId="2" xfId="0" applyFill="1" applyBorder="1" applyAlignment="1">
      <alignment horizontal="left" vertical="top" wrapText="1"/>
    </xf>
    <xf numFmtId="0" fontId="0" fillId="30" borderId="7" xfId="0" applyFill="1" applyBorder="1" applyAlignment="1">
      <alignment horizontal="center"/>
    </xf>
    <xf numFmtId="0" fontId="4" fillId="2" borderId="28" xfId="0" applyFont="1" applyFill="1" applyBorder="1" applyAlignment="1" applyProtection="1">
      <alignment horizontal="right" vertical="center" shrinkToFit="1" readingOrder="1"/>
    </xf>
    <xf numFmtId="0" fontId="4" fillId="2" borderId="2" xfId="0" applyFont="1" applyFill="1" applyBorder="1" applyAlignment="1" applyProtection="1">
      <alignment horizontal="right" vertical="center" shrinkToFit="1" readingOrder="1"/>
    </xf>
    <xf numFmtId="0" fontId="9" fillId="19" borderId="43" xfId="0" applyFont="1" applyFill="1" applyBorder="1" applyAlignment="1" applyProtection="1">
      <alignment horizontal="center" vertical="top" wrapText="1" readingOrder="1"/>
    </xf>
    <xf numFmtId="0" fontId="9" fillId="19" borderId="44" xfId="0" applyFont="1" applyFill="1" applyBorder="1" applyAlignment="1" applyProtection="1">
      <alignment horizontal="center" vertical="top" wrapText="1" readingOrder="1"/>
    </xf>
    <xf numFmtId="0" fontId="9" fillId="19" borderId="45" xfId="0" applyFont="1" applyFill="1" applyBorder="1" applyAlignment="1" applyProtection="1">
      <alignment horizontal="center" vertical="top" wrapText="1" readingOrder="1"/>
    </xf>
    <xf numFmtId="0" fontId="9" fillId="20" borderId="46" xfId="0" applyFont="1" applyFill="1" applyBorder="1" applyAlignment="1" applyProtection="1">
      <alignment horizontal="center" vertical="top" wrapText="1" readingOrder="1"/>
    </xf>
    <xf numFmtId="0" fontId="9" fillId="20" borderId="47" xfId="0" applyFont="1" applyFill="1" applyBorder="1" applyAlignment="1" applyProtection="1">
      <alignment horizontal="center" vertical="top" wrapText="1" readingOrder="1"/>
    </xf>
    <xf numFmtId="0" fontId="9" fillId="20" borderId="48" xfId="0" applyFont="1" applyFill="1" applyBorder="1" applyAlignment="1" applyProtection="1">
      <alignment horizontal="center" vertical="top" wrapText="1" readingOrder="1"/>
    </xf>
    <xf numFmtId="0" fontId="9" fillId="21" borderId="49" xfId="0" applyFont="1" applyFill="1" applyBorder="1" applyAlignment="1" applyProtection="1">
      <alignment horizontal="center" vertical="center" wrapText="1" readingOrder="1"/>
    </xf>
    <xf numFmtId="0" fontId="9" fillId="21" borderId="50" xfId="0" applyFont="1" applyFill="1" applyBorder="1" applyAlignment="1" applyProtection="1">
      <alignment horizontal="center" vertical="center" wrapText="1" readingOrder="1"/>
    </xf>
    <xf numFmtId="0" fontId="9" fillId="21" borderId="51" xfId="0" applyFont="1" applyFill="1" applyBorder="1" applyAlignment="1" applyProtection="1">
      <alignment horizontal="center" vertical="center" wrapText="1" readingOrder="1"/>
    </xf>
    <xf numFmtId="0" fontId="4" fillId="2" borderId="52" xfId="0" applyFont="1" applyFill="1" applyBorder="1" applyAlignment="1" applyProtection="1">
      <alignment horizontal="right" vertical="center" shrinkToFit="1" readingOrder="1"/>
    </xf>
    <xf numFmtId="0" fontId="4" fillId="2" borderId="42" xfId="0" applyFont="1" applyFill="1" applyBorder="1" applyAlignment="1" applyProtection="1">
      <alignment horizontal="right" vertical="center" shrinkToFit="1" readingOrder="1"/>
    </xf>
    <xf numFmtId="0" fontId="2" fillId="14" borderId="6" xfId="0" applyFont="1" applyFill="1" applyBorder="1" applyAlignment="1" applyProtection="1">
      <alignment horizontal="center"/>
    </xf>
    <xf numFmtId="0" fontId="2" fillId="14" borderId="7" xfId="0" applyFont="1" applyFill="1" applyBorder="1" applyAlignment="1" applyProtection="1">
      <alignment horizontal="center"/>
    </xf>
    <xf numFmtId="0" fontId="2" fillId="14" borderId="31" xfId="0" applyFont="1" applyFill="1" applyBorder="1" applyAlignment="1" applyProtection="1">
      <alignment horizontal="center"/>
    </xf>
    <xf numFmtId="0" fontId="4" fillId="2" borderId="54" xfId="0" applyFont="1" applyFill="1" applyBorder="1" applyAlignment="1" applyProtection="1">
      <alignment horizontal="right" vertical="center" shrinkToFit="1" readingOrder="1"/>
    </xf>
    <xf numFmtId="0" fontId="4" fillId="2" borderId="55" xfId="0" applyFont="1" applyFill="1" applyBorder="1" applyAlignment="1" applyProtection="1">
      <alignment horizontal="right" vertical="center" shrinkToFit="1" readingOrder="1"/>
    </xf>
    <xf numFmtId="9" fontId="0" fillId="14" borderId="6" xfId="0" applyNumberFormat="1" applyFont="1" applyFill="1" applyBorder="1" applyAlignment="1" applyProtection="1">
      <alignment horizontal="center" vertical="center" wrapText="1"/>
      <protection locked="0"/>
    </xf>
    <xf numFmtId="9" fontId="0" fillId="14" borderId="7" xfId="0" applyNumberFormat="1" applyFont="1" applyFill="1" applyBorder="1" applyAlignment="1" applyProtection="1">
      <alignment horizontal="center" vertical="center" wrapText="1"/>
      <protection locked="0"/>
    </xf>
    <xf numFmtId="9" fontId="0" fillId="14" borderId="4" xfId="0" applyNumberFormat="1" applyFont="1" applyFill="1" applyBorder="1" applyAlignment="1" applyProtection="1">
      <alignment horizontal="center" vertical="center" wrapText="1"/>
      <protection locked="0"/>
    </xf>
    <xf numFmtId="0" fontId="4" fillId="2" borderId="53" xfId="0" applyFont="1" applyFill="1" applyBorder="1" applyAlignment="1" applyProtection="1">
      <alignment horizontal="right" vertical="center" shrinkToFit="1" readingOrder="1"/>
    </xf>
    <xf numFmtId="0" fontId="4" fillId="2" borderId="41" xfId="0" applyFont="1" applyFill="1" applyBorder="1" applyAlignment="1" applyProtection="1">
      <alignment horizontal="right" vertical="center" shrinkToFit="1" readingOrder="1"/>
    </xf>
    <xf numFmtId="0" fontId="0" fillId="14" borderId="6" xfId="0" applyFont="1" applyFill="1" applyBorder="1" applyAlignment="1" applyProtection="1">
      <alignment horizontal="center" vertical="center" wrapText="1" readingOrder="1"/>
    </xf>
    <xf numFmtId="0" fontId="0" fillId="14" borderId="7" xfId="0" applyFont="1" applyFill="1" applyBorder="1" applyAlignment="1" applyProtection="1">
      <alignment horizontal="center" vertical="center" wrapText="1" readingOrder="1"/>
    </xf>
    <xf numFmtId="0" fontId="0" fillId="14" borderId="31" xfId="0" applyFont="1" applyFill="1" applyBorder="1" applyAlignment="1" applyProtection="1">
      <alignment horizontal="center" vertical="center" wrapText="1" readingOrder="1"/>
    </xf>
    <xf numFmtId="0" fontId="0" fillId="14" borderId="30" xfId="0" applyFont="1" applyFill="1" applyBorder="1" applyAlignment="1" applyProtection="1">
      <alignment horizontal="center" wrapText="1"/>
    </xf>
    <xf numFmtId="0" fontId="0" fillId="14" borderId="7" xfId="0" applyFont="1" applyFill="1" applyBorder="1" applyAlignment="1" applyProtection="1">
      <alignment horizontal="center" wrapText="1"/>
    </xf>
    <xf numFmtId="0" fontId="0" fillId="14" borderId="31" xfId="0" applyFont="1" applyFill="1" applyBorder="1" applyAlignment="1" applyProtection="1">
      <alignment horizontal="center" wrapText="1"/>
    </xf>
    <xf numFmtId="0" fontId="24" fillId="28" borderId="46" xfId="0" applyFont="1" applyFill="1" applyBorder="1" applyAlignment="1" applyProtection="1">
      <alignment horizontal="center" vertical="center" wrapText="1" readingOrder="1"/>
    </xf>
    <xf numFmtId="0" fontId="24" fillId="28" borderId="47" xfId="0" applyFont="1" applyFill="1" applyBorder="1" applyAlignment="1" applyProtection="1">
      <alignment horizontal="center" vertical="center" wrapText="1" readingOrder="1"/>
    </xf>
    <xf numFmtId="0" fontId="24" fillId="28" borderId="48" xfId="0" applyFont="1" applyFill="1" applyBorder="1" applyAlignment="1" applyProtection="1">
      <alignment horizontal="center" vertical="center" wrapText="1" readingOrder="1"/>
    </xf>
    <xf numFmtId="0" fontId="9" fillId="21" borderId="38" xfId="0" applyFont="1" applyFill="1" applyBorder="1" applyAlignment="1" applyProtection="1">
      <alignment horizontal="center" vertical="center" wrapText="1" readingOrder="1"/>
    </xf>
    <xf numFmtId="0" fontId="24" fillId="21" borderId="58" xfId="0" applyFont="1" applyFill="1" applyBorder="1" applyAlignment="1" applyProtection="1">
      <alignment horizontal="center" vertical="center" wrapText="1" readingOrder="1"/>
    </xf>
    <xf numFmtId="0" fontId="24" fillId="21" borderId="59" xfId="0" applyFont="1" applyFill="1" applyBorder="1" applyAlignment="1" applyProtection="1">
      <alignment horizontal="center" vertical="center" wrapText="1" readingOrder="1"/>
    </xf>
    <xf numFmtId="0" fontId="24" fillId="21" borderId="60" xfId="0" applyFont="1" applyFill="1" applyBorder="1" applyAlignment="1" applyProtection="1">
      <alignment horizontal="center" vertical="center" wrapText="1" readingOrder="1"/>
    </xf>
    <xf numFmtId="0" fontId="6" fillId="7" borderId="2" xfId="0" applyFont="1" applyFill="1" applyBorder="1" applyAlignment="1" applyProtection="1">
      <alignment horizontal="left" vertical="center" wrapText="1" readingOrder="1"/>
    </xf>
    <xf numFmtId="0" fontId="2" fillId="0" borderId="7" xfId="0" applyFont="1" applyFill="1" applyBorder="1" applyAlignment="1" applyProtection="1">
      <alignment horizontal="center"/>
    </xf>
    <xf numFmtId="0" fontId="2" fillId="0" borderId="31" xfId="0" applyFont="1" applyFill="1" applyBorder="1" applyAlignment="1" applyProtection="1">
      <alignment horizontal="center"/>
    </xf>
    <xf numFmtId="0" fontId="0" fillId="7" borderId="30" xfId="0" applyFont="1" applyFill="1" applyBorder="1" applyAlignment="1" applyProtection="1">
      <alignment horizontal="left"/>
      <protection locked="0"/>
    </xf>
    <xf numFmtId="0" fontId="0" fillId="7" borderId="7" xfId="0" applyFont="1" applyFill="1" applyBorder="1" applyAlignment="1" applyProtection="1">
      <alignment horizontal="left"/>
      <protection locked="0"/>
    </xf>
    <xf numFmtId="0" fontId="0" fillId="7" borderId="31" xfId="0" applyFont="1" applyFill="1" applyBorder="1" applyAlignment="1" applyProtection="1">
      <alignment horizontal="left"/>
      <protection locked="0"/>
    </xf>
    <xf numFmtId="0" fontId="0" fillId="0" borderId="30" xfId="0" applyFont="1" applyFill="1" applyBorder="1" applyAlignment="1" applyProtection="1">
      <alignment horizontal="left" wrapText="1"/>
      <protection locked="0"/>
    </xf>
    <xf numFmtId="0" fontId="0" fillId="0" borderId="7" xfId="0" applyFont="1" applyFill="1" applyBorder="1" applyAlignment="1" applyProtection="1">
      <alignment horizontal="left" wrapText="1"/>
      <protection locked="0"/>
    </xf>
    <xf numFmtId="0" fontId="0" fillId="0" borderId="31" xfId="0" applyFont="1" applyFill="1" applyBorder="1" applyAlignment="1" applyProtection="1">
      <alignment horizontal="left" wrapText="1"/>
      <protection locked="0"/>
    </xf>
    <xf numFmtId="0" fontId="0" fillId="7" borderId="30" xfId="1" applyFont="1" applyFill="1" applyBorder="1" applyAlignment="1">
      <alignment horizontal="left" wrapText="1"/>
    </xf>
    <xf numFmtId="0" fontId="22" fillId="7" borderId="7" xfId="1" applyFont="1" applyFill="1" applyBorder="1" applyAlignment="1">
      <alignment horizontal="left" wrapText="1"/>
    </xf>
    <xf numFmtId="0" fontId="0" fillId="0" borderId="61" xfId="0" applyFont="1" applyFill="1" applyBorder="1" applyAlignment="1" applyProtection="1">
      <alignment horizontal="left" wrapText="1"/>
      <protection locked="0"/>
    </xf>
    <xf numFmtId="0" fontId="0" fillId="0" borderId="62" xfId="0" applyFont="1" applyFill="1" applyBorder="1" applyAlignment="1" applyProtection="1">
      <alignment horizontal="left" wrapText="1"/>
      <protection locked="0"/>
    </xf>
    <xf numFmtId="0" fontId="0" fillId="0" borderId="63" xfId="0" applyFont="1" applyFill="1" applyBorder="1" applyAlignment="1" applyProtection="1">
      <alignment horizontal="left" wrapText="1"/>
      <protection locked="0"/>
    </xf>
    <xf numFmtId="0" fontId="0" fillId="0" borderId="56" xfId="0" applyFont="1" applyFill="1" applyBorder="1" applyAlignment="1" applyProtection="1">
      <alignment horizontal="left" wrapText="1"/>
      <protection locked="0"/>
    </xf>
    <xf numFmtId="0" fontId="0" fillId="0" borderId="64" xfId="0" applyFont="1" applyFill="1" applyBorder="1" applyAlignment="1" applyProtection="1">
      <alignment horizontal="left" wrapText="1"/>
      <protection locked="0"/>
    </xf>
    <xf numFmtId="0" fontId="0" fillId="0" borderId="57" xfId="0" applyFont="1" applyFill="1" applyBorder="1" applyAlignment="1" applyProtection="1">
      <alignment horizontal="left" wrapText="1"/>
      <protection locked="0"/>
    </xf>
    <xf numFmtId="0" fontId="24" fillId="21" borderId="46" xfId="0" applyFont="1" applyFill="1" applyBorder="1" applyAlignment="1" applyProtection="1">
      <alignment horizontal="center" vertical="center" wrapText="1" readingOrder="1"/>
    </xf>
    <xf numFmtId="0" fontId="24" fillId="21" borderId="47" xfId="0" applyFont="1" applyFill="1" applyBorder="1" applyAlignment="1" applyProtection="1">
      <alignment horizontal="center" vertical="center" wrapText="1" readingOrder="1"/>
    </xf>
    <xf numFmtId="0" fontId="24" fillId="21" borderId="48" xfId="0" applyFont="1" applyFill="1" applyBorder="1" applyAlignment="1" applyProtection="1">
      <alignment horizontal="center" vertical="center" wrapText="1" readingOrder="1"/>
    </xf>
    <xf numFmtId="0" fontId="0" fillId="14" borderId="66" xfId="0" applyFont="1" applyFill="1" applyBorder="1" applyAlignment="1" applyProtection="1">
      <alignment horizontal="center" vertical="center" wrapText="1"/>
    </xf>
    <xf numFmtId="0" fontId="0" fillId="14" borderId="67" xfId="0" applyFont="1" applyFill="1" applyBorder="1" applyAlignment="1" applyProtection="1">
      <alignment horizontal="center" vertical="center" wrapText="1"/>
    </xf>
    <xf numFmtId="0" fontId="0" fillId="14" borderId="68" xfId="0" applyFont="1" applyFill="1" applyBorder="1" applyAlignment="1" applyProtection="1">
      <alignment horizontal="center" vertical="center" wrapText="1"/>
    </xf>
    <xf numFmtId="0" fontId="0" fillId="14" borderId="69" xfId="0" applyFont="1" applyFill="1" applyBorder="1" applyAlignment="1" applyProtection="1">
      <alignment horizontal="center" vertical="center" wrapText="1"/>
    </xf>
    <xf numFmtId="0" fontId="0" fillId="14" borderId="0" xfId="0" applyFont="1" applyFill="1" applyBorder="1" applyAlignment="1" applyProtection="1">
      <alignment horizontal="center" vertical="center" wrapText="1"/>
    </xf>
    <xf numFmtId="0" fontId="0" fillId="14" borderId="70" xfId="0" applyFont="1" applyFill="1" applyBorder="1" applyAlignment="1" applyProtection="1">
      <alignment horizontal="center" vertical="center" wrapText="1"/>
    </xf>
    <xf numFmtId="0" fontId="0" fillId="14" borderId="56" xfId="0" applyFont="1" applyFill="1" applyBorder="1" applyAlignment="1" applyProtection="1">
      <alignment horizontal="center" vertical="center" wrapText="1"/>
    </xf>
    <xf numFmtId="0" fontId="0" fillId="14" borderId="64" xfId="0" applyFont="1" applyFill="1" applyBorder="1" applyAlignment="1" applyProtection="1">
      <alignment horizontal="center" vertical="center" wrapText="1"/>
    </xf>
    <xf numFmtId="0" fontId="0" fillId="14" borderId="57" xfId="0" applyFont="1" applyFill="1" applyBorder="1" applyAlignment="1" applyProtection="1">
      <alignment horizontal="center" vertical="center" wrapText="1"/>
    </xf>
    <xf numFmtId="0" fontId="6" fillId="29" borderId="32" xfId="0" applyFont="1" applyFill="1" applyBorder="1" applyAlignment="1" applyProtection="1">
      <alignment horizontal="left" vertical="center" wrapText="1" readingOrder="1"/>
    </xf>
    <xf numFmtId="0" fontId="6" fillId="29" borderId="33" xfId="0" applyFont="1" applyFill="1" applyBorder="1" applyAlignment="1" applyProtection="1">
      <alignment horizontal="left" vertical="center" wrapText="1" readingOrder="1"/>
    </xf>
    <xf numFmtId="0" fontId="6" fillId="29" borderId="34" xfId="0" applyFont="1" applyFill="1" applyBorder="1" applyAlignment="1" applyProtection="1">
      <alignment horizontal="left" vertical="center" wrapText="1" readingOrder="1"/>
    </xf>
    <xf numFmtId="0" fontId="2" fillId="29" borderId="30" xfId="0" applyFont="1" applyFill="1" applyBorder="1" applyAlignment="1" applyProtection="1">
      <alignment horizontal="center"/>
    </xf>
    <xf numFmtId="0" fontId="2" fillId="29" borderId="7" xfId="0" applyFont="1" applyFill="1" applyBorder="1" applyAlignment="1" applyProtection="1">
      <alignment horizontal="center"/>
    </xf>
    <xf numFmtId="0" fontId="2" fillId="29" borderId="31" xfId="0" applyFont="1" applyFill="1" applyBorder="1" applyAlignment="1" applyProtection="1">
      <alignment horizontal="center"/>
    </xf>
    <xf numFmtId="0" fontId="6" fillId="29" borderId="28" xfId="0" applyFont="1" applyFill="1" applyBorder="1" applyAlignment="1" applyProtection="1">
      <alignment horizontal="left" vertical="center" wrapText="1" readingOrder="1"/>
    </xf>
    <xf numFmtId="0" fontId="6" fillId="29" borderId="2" xfId="0" applyFont="1" applyFill="1" applyBorder="1" applyAlignment="1" applyProtection="1">
      <alignment horizontal="left" vertical="center" wrapText="1" readingOrder="1"/>
    </xf>
    <xf numFmtId="0" fontId="0" fillId="29" borderId="28" xfId="0" applyFont="1" applyFill="1" applyBorder="1" applyAlignment="1" applyProtection="1">
      <alignment horizontal="left" vertical="top" wrapText="1"/>
      <protection locked="0"/>
    </xf>
    <xf numFmtId="0" fontId="0" fillId="29" borderId="2" xfId="0" applyFont="1" applyFill="1" applyBorder="1" applyAlignment="1" applyProtection="1">
      <alignment horizontal="left" vertical="top" wrapText="1"/>
      <protection locked="0"/>
    </xf>
    <xf numFmtId="0" fontId="0" fillId="29" borderId="29" xfId="0" applyFont="1" applyFill="1" applyBorder="1" applyAlignment="1" applyProtection="1">
      <alignment horizontal="left" vertical="top" wrapText="1"/>
      <protection locked="0"/>
    </xf>
    <xf numFmtId="0" fontId="2" fillId="0" borderId="65" xfId="0" applyFont="1" applyFill="1" applyBorder="1" applyAlignment="1" applyProtection="1">
      <alignment horizontal="center"/>
    </xf>
    <xf numFmtId="0" fontId="2" fillId="0" borderId="35" xfId="0" applyFont="1" applyFill="1" applyBorder="1" applyAlignment="1" applyProtection="1">
      <alignment horizontal="center"/>
    </xf>
    <xf numFmtId="0" fontId="2" fillId="0" borderId="36" xfId="0" applyFont="1" applyFill="1" applyBorder="1" applyAlignment="1" applyProtection="1">
      <alignment horizontal="center"/>
    </xf>
    <xf numFmtId="0" fontId="6" fillId="29" borderId="30" xfId="0" applyFont="1" applyFill="1" applyBorder="1" applyAlignment="1" applyProtection="1">
      <alignment horizontal="left" vertical="center" wrapText="1" readingOrder="1"/>
    </xf>
    <xf numFmtId="0" fontId="6" fillId="29" borderId="7" xfId="0" applyFont="1" applyFill="1" applyBorder="1" applyAlignment="1" applyProtection="1">
      <alignment horizontal="left" vertical="center" wrapText="1" readingOrder="1"/>
    </xf>
    <xf numFmtId="0" fontId="6" fillId="29" borderId="4" xfId="0" applyFont="1" applyFill="1" applyBorder="1" applyAlignment="1" applyProtection="1">
      <alignment horizontal="left" vertical="center" wrapText="1" readingOrder="1"/>
    </xf>
    <xf numFmtId="0" fontId="2" fillId="0" borderId="6" xfId="0" applyFont="1" applyFill="1" applyBorder="1" applyAlignment="1" applyProtection="1">
      <alignment horizontal="center"/>
    </xf>
    <xf numFmtId="0" fontId="25" fillId="22" borderId="0" xfId="0" applyFont="1" applyFill="1" applyAlignment="1">
      <alignment horizontal="center"/>
    </xf>
    <xf numFmtId="0" fontId="3" fillId="9" borderId="7" xfId="0" applyFont="1" applyFill="1" applyBorder="1" applyAlignment="1" applyProtection="1">
      <alignment horizontal="center"/>
    </xf>
    <xf numFmtId="0" fontId="3" fillId="9" borderId="4" xfId="0" applyFont="1" applyFill="1" applyBorder="1" applyAlignment="1" applyProtection="1">
      <alignment horizontal="center"/>
    </xf>
  </cellXfs>
  <cellStyles count="4">
    <cellStyle name="Calculation" xfId="3" builtinId="22"/>
    <cellStyle name="Hyperlink" xfId="1" builtinId="8"/>
    <cellStyle name="Normal" xfId="0" builtinId="0"/>
    <cellStyle name="Output" xfId="2" builtinId="21"/>
  </cellStyles>
  <dxfs count="6">
    <dxf>
      <font>
        <b/>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s>
  <tableStyles count="0" defaultTableStyle="TableStyleMedium2" defaultPivotStyle="PivotStyleLight16"/>
  <colors>
    <mruColors>
      <color rgb="FFCC3300"/>
      <color rgb="FF9900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gaysek/AppData/Roaming/OpenText/OTEdit/EC_gcdocs_nrcan/c41331758/C__Users_kmatiull_AppData_Roaming_OpenText_OTEdit_EC_gcdocs_nrcan_c41331758_Copy%20of%20New%20PIP%20template%20(blank)_AEB%20revision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Users/bbowick/AppData/Roaming/OpenText/OTEdit/EC_gcdocs_nrcan/c41331758/V.5.%202020-02-28-Revised%20GBA+%20Section%20in%20PIP%20Operationalization%20-Copy%20of%20NRCan%20Excel%20PIP%20Template%20-%20draft%20-%20January%202020"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gaysek/AppData/Local/Microsoft/Windows/INetCache/Content.Outlook/IHRPNZO0/GBA+%20Tab%20Updated%20-%202020-04-06-Copy%20of%20NRCan%20Excel%20PIP%20Template%20-%2020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mbstone &amp; Results Data"/>
      <sheetName val="Evaluation"/>
      <sheetName val="GBA+"/>
      <sheetName val="Risk"/>
      <sheetName val="DRF &amp; PI Amendments"/>
      <sheetName val="MRU"/>
      <sheetName val="Mandate Letter Tracker - TBC"/>
      <sheetName val="Drop Downs"/>
    </sheetNames>
    <sheetDataSet>
      <sheetData sheetId="0"/>
      <sheetData sheetId="1"/>
      <sheetData sheetId="2"/>
      <sheetData sheetId="3"/>
      <sheetData sheetId="4"/>
      <sheetData sheetId="5"/>
      <sheetData sheetId="6"/>
      <sheetData sheetId="7">
        <row r="3">
          <cell r="E3" t="str">
            <v>- Menu Select -</v>
          </cell>
        </row>
        <row r="4">
          <cell r="E4" t="str">
            <v>1 - Children</v>
          </cell>
        </row>
        <row r="5">
          <cell r="B5" t="str">
            <v>- Menu Select -</v>
          </cell>
          <cell r="E5" t="str">
            <v>2 - Youth</v>
          </cell>
        </row>
        <row r="6">
          <cell r="B6" t="str">
            <v>TB Submission</v>
          </cell>
          <cell r="E6" t="str">
            <v>3 - Seniors</v>
          </cell>
        </row>
        <row r="7">
          <cell r="B7" t="str">
            <v>External (DRF Indicator)</v>
          </cell>
          <cell r="E7" t="str">
            <v>4 - Families</v>
          </cell>
        </row>
        <row r="8">
          <cell r="B8" t="str">
            <v>External Reporting (Other)</v>
          </cell>
          <cell r="E8" t="str">
            <v>5 - Women</v>
          </cell>
        </row>
        <row r="9">
          <cell r="B9" t="str">
            <v>Internal Reporting</v>
          </cell>
          <cell r="E9" t="str">
            <v>6 - Indigenous people</v>
          </cell>
        </row>
        <row r="10">
          <cell r="B10" t="str">
            <v>Pilot Indicator (Not reported)</v>
          </cell>
          <cell r="E10" t="str">
            <v>7 - Disabled persons</v>
          </cell>
        </row>
        <row r="11">
          <cell r="E11" t="str">
            <v>8 - Students</v>
          </cell>
        </row>
        <row r="12">
          <cell r="E12" t="str">
            <v>9 - Detained and/or formerly incarcerated individuals</v>
          </cell>
        </row>
        <row r="13">
          <cell r="E13" t="str">
            <v>10 - Violators of regulations and/or laws</v>
          </cell>
        </row>
        <row r="14">
          <cell r="E14" t="str">
            <v>11 - Victims</v>
          </cell>
        </row>
        <row r="15">
          <cell r="B15" t="str">
            <v>- Menu Select -</v>
          </cell>
          <cell r="E15" t="str">
            <v>12 - Military personnel</v>
          </cell>
        </row>
        <row r="16">
          <cell r="B16" t="str">
            <v>Monthly</v>
          </cell>
          <cell r="E16" t="str">
            <v>13 - Veterans</v>
          </cell>
        </row>
        <row r="17">
          <cell r="B17" t="str">
            <v>Bi-Monthly</v>
          </cell>
          <cell r="E17" t="str">
            <v>14 - Workers</v>
          </cell>
        </row>
        <row r="18">
          <cell r="B18" t="str">
            <v>Quarterly</v>
          </cell>
          <cell r="E18" t="str">
            <v>15 - Voters</v>
          </cell>
        </row>
        <row r="19">
          <cell r="B19" t="str">
            <v>Semi-Annually</v>
          </cell>
          <cell r="E19" t="str">
            <v>16 - Consumers</v>
          </cell>
        </row>
        <row r="20">
          <cell r="B20" t="str">
            <v>Annually</v>
          </cell>
          <cell r="E20" t="str">
            <v>17 - Unemployed</v>
          </cell>
        </row>
        <row r="21">
          <cell r="B21" t="str">
            <v>2 years</v>
          </cell>
          <cell r="E21" t="str">
            <v>18 - Low-income individuals and/or families</v>
          </cell>
        </row>
        <row r="22">
          <cell r="B22" t="str">
            <v>3 years</v>
          </cell>
          <cell r="E22" t="str">
            <v>19 - Scientific researchers</v>
          </cell>
        </row>
        <row r="23">
          <cell r="B23" t="str">
            <v>5 years</v>
          </cell>
          <cell r="E23" t="str">
            <v>20 - Socio-economic researchers</v>
          </cell>
        </row>
        <row r="24">
          <cell r="B24" t="str">
            <v>Other</v>
          </cell>
          <cell r="E24" t="str">
            <v>21 - Health care professionals</v>
          </cell>
        </row>
        <row r="25">
          <cell r="E25" t="str">
            <v>22 - Law enforcement officials</v>
          </cell>
          <cell r="I25" t="str">
            <v>- Menu Select -</v>
          </cell>
        </row>
        <row r="26">
          <cell r="E26" t="str">
            <v>23 - Legal professionals</v>
          </cell>
          <cell r="I26" t="str">
            <v>Aboriginal Economic Development Strategic Partnerships</v>
          </cell>
        </row>
        <row r="27">
          <cell r="B27" t="str">
            <v>- Menu Select -</v>
          </cell>
          <cell r="E27" t="str">
            <v>24 - Artists and/or performers</v>
          </cell>
          <cell r="I27" t="str">
            <v>Beyond the Border Action Plan</v>
          </cell>
        </row>
        <row r="28">
          <cell r="B28" t="str">
            <v>Number</v>
          </cell>
          <cell r="E28" t="str">
            <v>25 - Athletes and/or coaches</v>
          </cell>
          <cell r="I28" t="str">
            <v>Bovine Spongiform Encephalopathy (BSE) Program</v>
          </cell>
        </row>
        <row r="29">
          <cell r="B29" t="str">
            <v>Range</v>
          </cell>
          <cell r="E29" t="str">
            <v>26 - Farmers</v>
          </cell>
          <cell r="I29" t="str">
            <v>Canada 150</v>
          </cell>
        </row>
        <row r="30">
          <cell r="B30" t="str">
            <v>Percentage</v>
          </cell>
          <cell r="E30" t="str">
            <v>27 - Members of Parliament</v>
          </cell>
          <cell r="I30" t="str">
            <v>Canada's Anti-Money Laundering and Anti-Terrorist Financing Regime—formerly the NICML</v>
          </cell>
        </row>
        <row r="31">
          <cell r="B31" t="str">
            <v>Percentage Change</v>
          </cell>
          <cell r="E31" t="str">
            <v>28 - Language minorities</v>
          </cell>
          <cell r="I31" t="str">
            <v>Canadian HIV Vaccine Initiative</v>
          </cell>
        </row>
        <row r="32">
          <cell r="B32" t="str">
            <v>Qualitative</v>
          </cell>
          <cell r="E32" t="str">
            <v>29 - Canadians travelling, working, studying, and/or living abroad</v>
          </cell>
          <cell r="I32" t="str">
            <v>Chemicals Management Plan</v>
          </cell>
        </row>
        <row r="33">
          <cell r="B33" t="str">
            <v>Other</v>
          </cell>
          <cell r="E33" t="str">
            <v>30 - Immigrants and/or refugees</v>
          </cell>
          <cell r="I33" t="str">
            <v>Early Learning and Child Care</v>
          </cell>
        </row>
        <row r="34">
          <cell r="E34" t="str">
            <v>31 - International students</v>
          </cell>
          <cell r="I34" t="str">
            <v>Federal Tobacco Control Strategy</v>
          </cell>
        </row>
        <row r="35">
          <cell r="E35" t="str">
            <v>32 - Tourists and/or foreign visitors</v>
          </cell>
          <cell r="I35" t="str">
            <v xml:space="preserve">First Nations Water and Wastewater Action Plan [successor to the joint First Nations Water Management Strategy (2003-2008) and the AANDC Plan of Action for Drinking Water (2006-2008)] </v>
          </cell>
        </row>
        <row r="36">
          <cell r="B36" t="str">
            <v>- Menu Select -</v>
          </cell>
          <cell r="E36" t="str">
            <v>33 - Foreign and/or migrant workers</v>
          </cell>
          <cell r="I36" t="str">
            <v>Food Safety Information Network (FSIN)</v>
          </cell>
        </row>
        <row r="37">
          <cell r="B37" t="str">
            <v>1.1 Contribution</v>
          </cell>
          <cell r="E37" t="str">
            <v>34 - Foreign investors and/or foreign entrepreneurs</v>
          </cell>
          <cell r="I37" t="str">
            <v>Food Safety Oversight (FSO)</v>
          </cell>
        </row>
        <row r="38">
          <cell r="B38" t="str">
            <v>1.2 Grant</v>
          </cell>
          <cell r="E38" t="str">
            <v>35 - General public</v>
          </cell>
          <cell r="I38" t="str">
            <v>Genomics R-D Initiative</v>
          </cell>
        </row>
        <row r="39">
          <cell r="B39" t="str">
            <v>1.3 Other Transfer Payment</v>
          </cell>
          <cell r="E39" t="str">
            <v>36 - Dependants of Military and Law Enforcement Veterans</v>
          </cell>
          <cell r="I39" t="str">
            <v>Growing Forward 2 - Minor Use Pesticides, Stream C: Facilitating and Supporting a Modern Regulatory Environment and Agricompetitiveness Program</v>
          </cell>
        </row>
        <row r="40">
          <cell r="B40" t="str">
            <v>2 Regulation / Legislation</v>
          </cell>
          <cell r="E40" t="str">
            <v>37 - Non-governmental organizations (NGO)</v>
          </cell>
          <cell r="I40" t="str">
            <v>Income Assistance Reform: Enhanced Service Delivery (ESD)</v>
          </cell>
        </row>
        <row r="41">
          <cell r="B41" t="str">
            <v>3 Management / Oversight of Federal Activities</v>
          </cell>
          <cell r="E41" t="str">
            <v>38 - Health care and/or social assistance sectors</v>
          </cell>
          <cell r="I41" t="str">
            <v>Investments to Combat the Criminal Use of Firearms (ICCUF)</v>
          </cell>
        </row>
        <row r="42">
          <cell r="B42" t="str">
            <v>4 Programs / Services for Canadians</v>
          </cell>
          <cell r="E42" t="str">
            <v>39 - Heritage institutions</v>
          </cell>
          <cell r="I42" t="str">
            <v>Listeriosis (Formally called Renewal of Government Response and Action Plan to the 2008 Listeriosis Outbreak )</v>
          </cell>
        </row>
        <row r="43">
          <cell r="B43" t="str">
            <v>5 Enterprise-Wide Program / Service</v>
          </cell>
          <cell r="E43" t="str">
            <v>40 - Colleges and/or universities</v>
          </cell>
          <cell r="I43" t="str">
            <v>Major Projects Management Office Initiative</v>
          </cell>
        </row>
        <row r="44">
          <cell r="B44" t="str">
            <v>6 Safety or Security Program / Service</v>
          </cell>
          <cell r="E44" t="str">
            <v>41 - Agriculture industry</v>
          </cell>
          <cell r="I44" t="str">
            <v>National Anti-drug Strategy</v>
          </cell>
        </row>
        <row r="45">
          <cell r="E45" t="str">
            <v>42 - Forestry industry</v>
          </cell>
          <cell r="I45" t="str">
            <v>National Child Benefit Program Initiative</v>
          </cell>
        </row>
        <row r="46">
          <cell r="E46" t="str">
            <v>43 - Mining, and/or oil &amp; gas exploration industries</v>
          </cell>
          <cell r="I46" t="str">
            <v>Nutrition North Canada</v>
          </cell>
        </row>
        <row r="47">
          <cell r="B47" t="str">
            <v>- Menu Select -</v>
          </cell>
          <cell r="E47" t="str">
            <v>44 - Energy and/or utilities sector</v>
          </cell>
          <cell r="I47" t="str">
            <v>Plum Pox Management and Monitoring Program (PPMMP)</v>
          </cell>
        </row>
        <row r="48">
          <cell r="B48" t="str">
            <v>Core Responsibility 1</v>
          </cell>
          <cell r="E48" t="str">
            <v>45 - Manufacturing industry</v>
          </cell>
          <cell r="I48" t="str">
            <v>Roadmap for Canada’s Official Languages 2013-18</v>
          </cell>
        </row>
        <row r="49">
          <cell r="B49" t="str">
            <v>Core Responsibility 2</v>
          </cell>
          <cell r="E49" t="str">
            <v>46 - Import / export sectors</v>
          </cell>
          <cell r="I49" t="str">
            <v>Syrian Refugee Crisis: Resettlement of 25,000 Syrians by February 29, 2016 and an additional 10,000 Government-assisted refugees by December 31, 2016</v>
          </cell>
        </row>
        <row r="50">
          <cell r="B50" t="str">
            <v>Core Responsibility 3</v>
          </cell>
          <cell r="E50" t="str">
            <v>47 - Retail industry</v>
          </cell>
          <cell r="I50" t="str">
            <v>Temporary Foreign Worker Program</v>
          </cell>
        </row>
        <row r="51">
          <cell r="B51" t="str">
            <v xml:space="preserve">Internal Services </v>
          </cell>
          <cell r="E51" t="str">
            <v>48 - Transportation industry</v>
          </cell>
          <cell r="I51" t="str">
            <v>The Federal Contaminated Sites Action Plan (FCSAP), approved March 2005 (which succeeded the two-year Federal Contaminated Sites Accelerated Action Plan [FCSAAP])</v>
          </cell>
        </row>
        <row r="52">
          <cell r="E52" t="str">
            <v>49 - Movie, television, and/or publishing sectors</v>
          </cell>
          <cell r="I52" t="str">
            <v>The Federal Initiative to Address HIV/AIDS in Canada</v>
          </cell>
        </row>
        <row r="53">
          <cell r="E53" t="str">
            <v>50 - Telecommunications sector</v>
          </cell>
          <cell r="I53" t="str">
            <v>Workplace Wellness and Productivity Strategy (WPS)</v>
          </cell>
        </row>
        <row r="54">
          <cell r="E54" t="str">
            <v>51 - Science and technology industry</v>
          </cell>
          <cell r="I54" t="str">
            <v>Youth Employment Strategy</v>
          </cell>
        </row>
        <row r="55">
          <cell r="E55" t="str">
            <v>52 - Finance and/or insurance sectors</v>
          </cell>
        </row>
        <row r="56">
          <cell r="E56" t="str">
            <v>53 - Housing sector</v>
          </cell>
        </row>
        <row r="57">
          <cell r="E57" t="str">
            <v>54 - Sports and/or recreation industry</v>
          </cell>
          <cell r="G57" t="str">
            <v>- Menu Select -</v>
          </cell>
        </row>
        <row r="58">
          <cell r="E58" t="str">
            <v>55 - Hospitality and/or food services industry</v>
          </cell>
          <cell r="G58" t="str">
            <v>International - A safe and secure world through international engagement</v>
          </cell>
        </row>
        <row r="59">
          <cell r="E59" t="str">
            <v>56 - Training and/or educational sectors</v>
          </cell>
          <cell r="G59" t="str">
            <v>International - Global poverty reduction through international sustainable development</v>
          </cell>
        </row>
        <row r="60">
          <cell r="E60" t="str">
            <v>57 - Performing arts sector</v>
          </cell>
          <cell r="G60" t="str">
            <v>International - A strong and mutually beneficial North American partnership</v>
          </cell>
        </row>
        <row r="61">
          <cell r="E61" t="str">
            <v>58 - Infrastructure</v>
          </cell>
          <cell r="G61" t="str">
            <v>International - A properous Canada through global commerce</v>
          </cell>
        </row>
        <row r="62">
          <cell r="E62" t="str">
            <v>59 - Indigenous/northern businesses</v>
          </cell>
          <cell r="G62" t="str">
            <v>Internal Services</v>
          </cell>
        </row>
        <row r="63">
          <cell r="E63" t="str">
            <v>60 - Small and Medium Enterprises</v>
          </cell>
        </row>
        <row r="64">
          <cell r="E64" t="str">
            <v>61 - Large sized businesses</v>
          </cell>
        </row>
        <row r="65">
          <cell r="E65" t="str">
            <v>62 - Families in developing countries / regions</v>
          </cell>
        </row>
        <row r="66">
          <cell r="E66" t="str">
            <v>63 - Private sector / businesses in developing countries / regions</v>
          </cell>
        </row>
        <row r="67">
          <cell r="E67" t="str">
            <v>64 - Civil society in developing countries / regions</v>
          </cell>
        </row>
        <row r="68">
          <cell r="E68" t="str">
            <v>65 - International organizations and/or alliances</v>
          </cell>
        </row>
        <row r="69">
          <cell r="E69" t="str">
            <v>66 - Foreign governments</v>
          </cell>
        </row>
        <row r="70">
          <cell r="E70" t="str">
            <v>67 - Provincial &amp; territorial governments</v>
          </cell>
        </row>
        <row r="71">
          <cell r="E71" t="str">
            <v>68 - Urban communities</v>
          </cell>
        </row>
        <row r="72">
          <cell r="E72" t="str">
            <v>69 - Rural communities</v>
          </cell>
        </row>
        <row r="73">
          <cell r="E73" t="str">
            <v>70 - Northern communities</v>
          </cell>
        </row>
        <row r="74">
          <cell r="E74" t="str">
            <v>71 - Local and/or regional communities</v>
          </cell>
        </row>
        <row r="75">
          <cell r="E75" t="str">
            <v>72 - Municipal governments</v>
          </cell>
        </row>
        <row r="76">
          <cell r="E76" t="str">
            <v>73 - Indigenous Band, Tribal Council, Nation and/or Alliance</v>
          </cell>
        </row>
        <row r="77">
          <cell r="E77" t="str">
            <v>74 - Federal departments and/or agencies</v>
          </cell>
        </row>
        <row r="78">
          <cell r="E78" t="str">
            <v>75 - Program(s) within the same department or agency</v>
          </cell>
        </row>
        <row r="79">
          <cell r="E79" t="str">
            <v>76 - Public Servants</v>
          </cell>
        </row>
        <row r="80">
          <cell r="E80" t="str">
            <v>77 - Canadian Forces</v>
          </cell>
        </row>
        <row r="81">
          <cell r="E81" t="str">
            <v>78 - Contaminated sites</v>
          </cell>
        </row>
        <row r="82">
          <cell r="E82" t="str">
            <v>79 - Greenhouse gas emitters</v>
          </cell>
        </row>
        <row r="83">
          <cell r="E83" t="str">
            <v>80 - Water treatment / distribution facilities</v>
          </cell>
        </row>
        <row r="84">
          <cell r="E84" t="str">
            <v>81 - Ecological systems and/or natural habitats</v>
          </cell>
        </row>
        <row r="85">
          <cell r="E85" t="str">
            <v>82 - Species at risk and/or invasive species</v>
          </cell>
        </row>
        <row r="92">
          <cell r="B92" t="str">
            <v>- Risk category -</v>
          </cell>
        </row>
        <row r="93">
          <cell r="B93" t="str">
            <v>Health and safety</v>
          </cell>
        </row>
        <row r="94">
          <cell r="B94" t="str">
            <v>Public confidence</v>
          </cell>
        </row>
        <row r="95">
          <cell r="B95" t="str">
            <v>Population size</v>
          </cell>
        </row>
        <row r="96">
          <cell r="B96" t="str">
            <v>Political sensitivity</v>
          </cell>
        </row>
        <row r="97">
          <cell r="B97" t="str">
            <v>Known program issues</v>
          </cell>
        </row>
        <row r="98">
          <cell r="B98" t="str">
            <v>Client expectations</v>
          </cell>
        </row>
        <row r="99">
          <cell r="B99" t="str">
            <v>Materiality</v>
          </cell>
        </row>
        <row r="100">
          <cell r="B100" t="str">
            <v>Complexity</v>
          </cell>
        </row>
        <row r="101">
          <cell r="B101" t="str">
            <v>Changing policy and/or programming priorities</v>
          </cell>
        </row>
        <row r="102">
          <cell r="B102" t="str">
            <v>IM/IT/Information security</v>
          </cell>
        </row>
        <row r="103">
          <cell r="B103" t="str">
            <v>Funding pressures or decisions</v>
          </cell>
        </row>
        <row r="104">
          <cell r="B104" t="str">
            <v>Capacity</v>
          </cell>
        </row>
        <row r="105">
          <cell r="B105" t="str">
            <v>Organizational change or change management</v>
          </cell>
        </row>
        <row r="106">
          <cell r="B106" t="str">
            <v>Partner country/stakeholder engagement</v>
          </cell>
        </row>
        <row r="107">
          <cell r="B107" t="str">
            <v>Evaluation readiness</v>
          </cell>
        </row>
        <row r="108">
          <cell r="B108" t="str">
            <v>Time pressures</v>
          </cell>
        </row>
        <row r="109">
          <cell r="B109" t="str">
            <v>Values and ethics</v>
          </cell>
        </row>
        <row r="110">
          <cell r="B110" t="str">
            <v>Other factors</v>
          </cell>
        </row>
        <row r="113">
          <cell r="B113" t="str">
            <v>- Menu Select -</v>
          </cell>
        </row>
        <row r="114">
          <cell r="B114" t="str">
            <v>Very Likely</v>
          </cell>
        </row>
        <row r="115">
          <cell r="B115" t="str">
            <v>Likely</v>
          </cell>
        </row>
        <row r="116">
          <cell r="B116" t="str">
            <v>Unlikely</v>
          </cell>
        </row>
        <row r="117">
          <cell r="B117" t="str">
            <v>Very Unlikely</v>
          </cell>
        </row>
        <row r="120">
          <cell r="B120" t="str">
            <v>- Menu Select -</v>
          </cell>
        </row>
        <row r="121">
          <cell r="B121" t="str">
            <v>High</v>
          </cell>
        </row>
        <row r="122">
          <cell r="B122" t="str">
            <v>Moderate</v>
          </cell>
        </row>
        <row r="123">
          <cell r="B123" t="str">
            <v>Limited</v>
          </cell>
        </row>
        <row r="124">
          <cell r="B124" t="str">
            <v>Very Limited</v>
          </cell>
        </row>
        <row r="145">
          <cell r="B145" t="str">
            <v>- Menu Select -</v>
          </cell>
        </row>
        <row r="146">
          <cell r="B146" t="str">
            <v>new for 2018-19</v>
          </cell>
        </row>
        <row r="147">
          <cell r="B147" t="str">
            <v>revised for 2018-19</v>
          </cell>
        </row>
        <row r="148">
          <cell r="B148" t="str">
            <v>carried over from 2017-18</v>
          </cell>
        </row>
        <row r="151">
          <cell r="B151" t="str">
            <v>- Menu Select -</v>
          </cell>
        </row>
        <row r="152">
          <cell r="B152" t="str">
            <v>High - Fully tolerable by the Program - No need to develop further measures to reduce the risk</v>
          </cell>
        </row>
        <row r="153">
          <cell r="B153" t="str">
            <v>Moderate - More or less tolerable by the program - May not be any need to consider further measures to reduce risk</v>
          </cell>
        </row>
        <row r="154">
          <cell r="B154" t="str">
            <v>Limited - May be considered beyond program's tolerance - There is a need to consider measures to reduce risk</v>
          </cell>
        </row>
        <row r="155">
          <cell r="B155" t="str">
            <v>Very Limited - Current risk level is clearly beyond the program's tolerance - There is an urgency to develop measures to reduce risk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Placeholder - Results Dashboard"/>
      <sheetName val="Tombstone Data"/>
      <sheetName val="Indicators &amp; Results"/>
      <sheetName val="Evaluation"/>
      <sheetName val="Transfer Payment Programs"/>
      <sheetName val="DRF &amp; PI Amendments"/>
      <sheetName val="Mid-Year Result Update"/>
      <sheetName val="Placeholder – Mandate Letters"/>
      <sheetName val="Placeholder - Risk"/>
      <sheetName val="Placeholder - Milestones C"/>
      <sheetName val="Placeholder - DSDS"/>
      <sheetName val="Do Not Delete - Dropdowns"/>
      <sheetName val="Drop Dow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3">
          <cell r="E3" t="str">
            <v>- Menu Select -</v>
          </cell>
        </row>
        <row r="4">
          <cell r="E4" t="str">
            <v>1 - Children</v>
          </cell>
        </row>
        <row r="5">
          <cell r="E5" t="str">
            <v>2 - Youth</v>
          </cell>
        </row>
        <row r="6">
          <cell r="E6" t="str">
            <v>3 - Seniors</v>
          </cell>
        </row>
        <row r="7">
          <cell r="E7" t="str">
            <v>4 - Families</v>
          </cell>
        </row>
        <row r="8">
          <cell r="E8" t="str">
            <v>5 - Women</v>
          </cell>
        </row>
        <row r="9">
          <cell r="E9" t="str">
            <v>6 - Indigenous people</v>
          </cell>
        </row>
        <row r="10">
          <cell r="E10" t="str">
            <v>7 - Disabled persons</v>
          </cell>
        </row>
        <row r="11">
          <cell r="E11" t="str">
            <v>8 - Students</v>
          </cell>
        </row>
        <row r="12">
          <cell r="E12" t="str">
            <v>9 - Detained and/or formerly incarcerated individuals</v>
          </cell>
        </row>
        <row r="13">
          <cell r="E13" t="str">
            <v>10 - Violators of regulations and/or laws</v>
          </cell>
        </row>
        <row r="14">
          <cell r="E14" t="str">
            <v>11 - Victims</v>
          </cell>
        </row>
        <row r="15">
          <cell r="E15" t="str">
            <v>12 - Military personnel</v>
          </cell>
        </row>
        <row r="16">
          <cell r="B16" t="str">
            <v>- Menu Select -</v>
          </cell>
          <cell r="E16" t="str">
            <v>13 - Veterans</v>
          </cell>
        </row>
        <row r="17">
          <cell r="B17" t="str">
            <v>Monthly</v>
          </cell>
          <cell r="E17" t="str">
            <v>14 - Workers</v>
          </cell>
        </row>
        <row r="18">
          <cell r="B18" t="str">
            <v>Bi-Monthly</v>
          </cell>
          <cell r="E18" t="str">
            <v>15 - Voters</v>
          </cell>
        </row>
        <row r="19">
          <cell r="B19" t="str">
            <v>Quarterly</v>
          </cell>
          <cell r="E19" t="str">
            <v>16 - Consumers</v>
          </cell>
        </row>
        <row r="20">
          <cell r="B20" t="str">
            <v>Semi-Annually</v>
          </cell>
          <cell r="E20" t="str">
            <v>17 - Unemployed</v>
          </cell>
        </row>
        <row r="21">
          <cell r="B21" t="str">
            <v>Annually</v>
          </cell>
          <cell r="E21" t="str">
            <v>18 - Low-income individuals and/or families</v>
          </cell>
        </row>
        <row r="22">
          <cell r="B22" t="str">
            <v>2 years</v>
          </cell>
          <cell r="E22" t="str">
            <v>19 - Scientific researchers</v>
          </cell>
        </row>
        <row r="23">
          <cell r="B23" t="str">
            <v>3 years</v>
          </cell>
          <cell r="E23" t="str">
            <v>20 - Socio-economic researchers</v>
          </cell>
        </row>
        <row r="24">
          <cell r="B24" t="str">
            <v>5 years</v>
          </cell>
          <cell r="E24" t="str">
            <v>21 - Health care professionals</v>
          </cell>
        </row>
        <row r="25">
          <cell r="B25" t="str">
            <v>Other</v>
          </cell>
          <cell r="E25" t="str">
            <v>22 - Law enforcement officials</v>
          </cell>
        </row>
        <row r="26">
          <cell r="E26" t="str">
            <v>23 - Legal professionals</v>
          </cell>
        </row>
        <row r="27">
          <cell r="E27" t="str">
            <v>24 - Artists and/or performers</v>
          </cell>
        </row>
        <row r="28">
          <cell r="E28" t="str">
            <v>25 - Athletes and/or coaches</v>
          </cell>
        </row>
        <row r="29">
          <cell r="E29" t="str">
            <v>26 - Farmers</v>
          </cell>
        </row>
        <row r="30">
          <cell r="E30" t="str">
            <v>27 - Members of Parliament</v>
          </cell>
        </row>
        <row r="31">
          <cell r="E31" t="str">
            <v>28 - Language minorities</v>
          </cell>
        </row>
        <row r="32">
          <cell r="E32" t="str">
            <v>29 - Canadians travelling, working, studying, and/or living abroad</v>
          </cell>
        </row>
        <row r="33">
          <cell r="E33" t="str">
            <v>30 - Immigrants and/or refugees</v>
          </cell>
        </row>
        <row r="34">
          <cell r="E34" t="str">
            <v>31 - International students</v>
          </cell>
        </row>
        <row r="35">
          <cell r="E35" t="str">
            <v>32 - Tourists and/or foreign visitors</v>
          </cell>
        </row>
        <row r="36">
          <cell r="E36" t="str">
            <v>33 - Foreign and/or migrant workers</v>
          </cell>
        </row>
        <row r="37">
          <cell r="B37" t="str">
            <v>- Menu Select -</v>
          </cell>
          <cell r="E37" t="str">
            <v>34 - Foreign investors and/or foreign entrepreneurs</v>
          </cell>
        </row>
        <row r="38">
          <cell r="B38" t="str">
            <v>1.1 Contribution</v>
          </cell>
          <cell r="E38" t="str">
            <v>35 - General public</v>
          </cell>
        </row>
        <row r="39">
          <cell r="B39" t="str">
            <v>1.2 Grant</v>
          </cell>
          <cell r="E39" t="str">
            <v>36 - Dependants of Military and Law Enforcement Veterans</v>
          </cell>
        </row>
        <row r="40">
          <cell r="B40" t="str">
            <v>1.3 Other Transfer Payment</v>
          </cell>
          <cell r="E40" t="str">
            <v>37 - Non-governmental organizations (NGO)</v>
          </cell>
        </row>
        <row r="41">
          <cell r="B41" t="str">
            <v>2 Regulation / Legislation</v>
          </cell>
          <cell r="E41" t="str">
            <v>38 - Health care and/or social assistance sectors</v>
          </cell>
        </row>
        <row r="42">
          <cell r="B42" t="str">
            <v>3 Management / Oversight of Federal Activities</v>
          </cell>
          <cell r="E42" t="str">
            <v>39 - Heritage institutions</v>
          </cell>
        </row>
        <row r="43">
          <cell r="B43" t="str">
            <v>4 Programs / Services for Canadians</v>
          </cell>
          <cell r="E43" t="str">
            <v>40 - Colleges and/or universities</v>
          </cell>
        </row>
        <row r="44">
          <cell r="B44" t="str">
            <v>5 Enterprise-Wide Program / Service</v>
          </cell>
          <cell r="E44" t="str">
            <v>41 - Agriculture industry</v>
          </cell>
        </row>
        <row r="45">
          <cell r="B45" t="str">
            <v>6 Safety or Security Program / Service</v>
          </cell>
          <cell r="E45" t="str">
            <v>42 - Forestry industry</v>
          </cell>
        </row>
        <row r="46">
          <cell r="E46" t="str">
            <v>43 - Mining, and/or oil &amp; gas exploration industries</v>
          </cell>
        </row>
        <row r="47">
          <cell r="E47" t="str">
            <v>44 - Energy and/or utilities sector</v>
          </cell>
        </row>
        <row r="48">
          <cell r="B48" t="str">
            <v>- Menu Select -</v>
          </cell>
          <cell r="E48" t="str">
            <v>45 - Manufacturing industry</v>
          </cell>
        </row>
        <row r="49">
          <cell r="B49" t="str">
            <v>Core Responsibility 1</v>
          </cell>
          <cell r="E49" t="str">
            <v>46 - Import / export sectors</v>
          </cell>
        </row>
        <row r="50">
          <cell r="B50" t="str">
            <v>Core Responsibility 2</v>
          </cell>
          <cell r="E50" t="str">
            <v>47 - Retail industry</v>
          </cell>
        </row>
        <row r="51">
          <cell r="B51" t="str">
            <v>Core Responsibility 3</v>
          </cell>
          <cell r="E51" t="str">
            <v>48 - Transportation industry</v>
          </cell>
        </row>
        <row r="52">
          <cell r="B52" t="str">
            <v xml:space="preserve">Internal Services </v>
          </cell>
          <cell r="E52" t="str">
            <v>49 - Movie, television, and/or publishing sectors</v>
          </cell>
        </row>
        <row r="53">
          <cell r="E53" t="str">
            <v>50 - Telecommunications sector</v>
          </cell>
        </row>
        <row r="54">
          <cell r="E54" t="str">
            <v>51 - Science and technology industry</v>
          </cell>
        </row>
        <row r="55">
          <cell r="E55" t="str">
            <v>52 - Finance and/or insurance sectors</v>
          </cell>
        </row>
        <row r="56">
          <cell r="E56" t="str">
            <v>53 - Housing sector</v>
          </cell>
        </row>
        <row r="57">
          <cell r="E57" t="str">
            <v>54 - Sports and/or recreation industry</v>
          </cell>
        </row>
        <row r="58">
          <cell r="E58" t="str">
            <v>55 - Hospitality and/or food services industry</v>
          </cell>
        </row>
        <row r="59">
          <cell r="E59" t="str">
            <v>56 - Training and/or educational sectors</v>
          </cell>
        </row>
        <row r="60">
          <cell r="E60" t="str">
            <v>57 - Performing arts sector</v>
          </cell>
        </row>
        <row r="61">
          <cell r="E61" t="str">
            <v>58 - Infrastructure</v>
          </cell>
        </row>
        <row r="62">
          <cell r="E62" t="str">
            <v>59 - Indigenous/northern businesses</v>
          </cell>
        </row>
        <row r="63">
          <cell r="E63" t="str">
            <v>60 - Small and Medium Enterprises</v>
          </cell>
        </row>
        <row r="64">
          <cell r="E64" t="str">
            <v>61 - Large sized businesses</v>
          </cell>
        </row>
        <row r="65">
          <cell r="E65" t="str">
            <v>62 - Families in developing countries / regions</v>
          </cell>
        </row>
        <row r="66">
          <cell r="E66" t="str">
            <v>63 - Private sector / businesses in developing countries / regions</v>
          </cell>
        </row>
        <row r="67">
          <cell r="E67" t="str">
            <v>64 - Civil society in developing countries / regions</v>
          </cell>
        </row>
        <row r="68">
          <cell r="E68" t="str">
            <v>65 - International organizations and/or alliances</v>
          </cell>
        </row>
        <row r="69">
          <cell r="E69" t="str">
            <v>66 - Foreign governments</v>
          </cell>
        </row>
        <row r="70">
          <cell r="E70" t="str">
            <v>67 - Provincial &amp; territorial governments</v>
          </cell>
        </row>
        <row r="71">
          <cell r="E71" t="str">
            <v>68 - Urban communities</v>
          </cell>
        </row>
        <row r="72">
          <cell r="E72" t="str">
            <v>69 - Rural communities</v>
          </cell>
        </row>
        <row r="73">
          <cell r="E73" t="str">
            <v>70 - Northern communities</v>
          </cell>
        </row>
        <row r="74">
          <cell r="E74" t="str">
            <v>71 - Local and/or regional communities</v>
          </cell>
        </row>
        <row r="75">
          <cell r="E75" t="str">
            <v>72 - Municipal governments</v>
          </cell>
        </row>
        <row r="76">
          <cell r="E76" t="str">
            <v>73 - Indigenous Band, Tribal Council, Nation and/or Alliance</v>
          </cell>
        </row>
        <row r="77">
          <cell r="E77" t="str">
            <v>74 - Federal departments and/or agencies</v>
          </cell>
        </row>
        <row r="78">
          <cell r="E78" t="str">
            <v>75 - Program(s) within the same department or agency</v>
          </cell>
        </row>
        <row r="79">
          <cell r="E79" t="str">
            <v>76 - Public Servants</v>
          </cell>
        </row>
        <row r="80">
          <cell r="E80" t="str">
            <v>77 - Canadian Forces</v>
          </cell>
        </row>
        <row r="81">
          <cell r="E81" t="str">
            <v>78 - Contaminated sites</v>
          </cell>
        </row>
        <row r="82">
          <cell r="E82" t="str">
            <v>79 - Greenhouse gas emitters</v>
          </cell>
        </row>
        <row r="83">
          <cell r="E83" t="str">
            <v>80 - Water treatment / distribution facilities</v>
          </cell>
        </row>
        <row r="84">
          <cell r="E84" t="str">
            <v>81 - Ecological systems and/or natural habitats</v>
          </cell>
        </row>
        <row r="85">
          <cell r="E85" t="str">
            <v>82 - Species at risk and/or invasive species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Results Dashboard"/>
      <sheetName val="2. Tombstone Data"/>
      <sheetName val="3. Indicators &amp; Results"/>
      <sheetName val="4. Experimentation"/>
      <sheetName val="Evaluation"/>
      <sheetName val="5. Supp. Information Tables"/>
      <sheetName val="6. GBA+"/>
      <sheetName val="7. DRF &amp; PI Amendments"/>
      <sheetName val="Mid-Year Update &amp;Target Setting"/>
      <sheetName val="Placeholder - Risk"/>
      <sheetName val="Change log"/>
      <sheetName val="Drop Down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id="4" name="Table4" displayName="Table4" ref="A3:D9" totalsRowShown="0" headerRowDxfId="5">
  <autoFilter ref="A3:D9"/>
  <tableColumns count="4">
    <tableColumn id="1" name="SUPPLEMENTARY INFORMATION TABLES" dataDxfId="4"/>
    <tableColumn id="3" name="TPP Program" dataDxfId="3"/>
    <tableColumn id="2" name="Year" dataDxfId="2"/>
    <tableColumn id="4" name="GCDocs link" dataDxfId="1"/>
  </tableColumns>
  <tableStyleInfo name="TableStyleLight2" showFirstColumn="0" showLastColumn="0" showRowStripes="1" showColumnStripes="0"/>
</table>
</file>

<file path=xl/tables/table2.xml><?xml version="1.0" encoding="utf-8"?>
<table xmlns="http://schemas.openxmlformats.org/spreadsheetml/2006/main" id="1" name="Table1" displayName="Table1" ref="A2:E14" totalsRowShown="0" headerRowDxfId="0">
  <tableColumns count="5">
    <tableColumn id="1" name="Tab updated"/>
    <tableColumn id="2" name="Date update made"/>
    <tableColumn id="3" name="Details of update"/>
    <tableColumn id="4" name="Rationale for update"/>
    <tableColumn id="5" name="Update approved by"/>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tbs-sct.gc.ca/ems-sgd/edb-bdd/index-eng.html" TargetMode="External"/><Relationship Id="rId2" Type="http://schemas.openxmlformats.org/officeDocument/2006/relationships/hyperlink" Target="https://gcdocs.gc.ca/nrcan-rncan/llisapi.dll/link/48119610" TargetMode="Externa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https://gcdocs.gc.ca/nrcan-rncan/llisapi.dll/link/48119610" TargetMode="Externa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hyperlink" Target="https://www.nrcan.gc.ca/nrcan/transparency/reporting-accountability/plans-performance-reports/audit/annual-plans/natural-resources-canada-2019-24-integrated-audit-evaluation-plan/22240"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cdocs.gc.ca/nrcan-rncan/llisapi.dll?func=ll&amp;objId=46461488&amp;objAction=browse&amp;viewType=1" TargetMode="External"/><Relationship Id="rId1" Type="http://schemas.openxmlformats.org/officeDocument/2006/relationships/hyperlink" Target="https://gcdocs.gc.ca/nrcan-rncan/llisapi.dll?func=ll&amp;objaction=overview&amp;objid=40996056"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Normal="100" workbookViewId="0">
      <selection activeCell="D14" sqref="D14"/>
    </sheetView>
  </sheetViews>
  <sheetFormatPr defaultColWidth="8.88671875" defaultRowHeight="14.4" x14ac:dyDescent="0.3"/>
  <cols>
    <col min="1" max="1" width="13.5546875" bestFit="1" customWidth="1"/>
  </cols>
  <sheetData>
    <row r="1" spans="1:1" x14ac:dyDescent="0.3">
      <c r="A1" s="126" t="s">
        <v>520</v>
      </c>
    </row>
  </sheetData>
  <pageMargins left="0.7" right="0.7" top="0.75" bottom="0.75" header="0.3" footer="0.3"/>
  <pageSetup orientation="portrait" r:id="rId1"/>
  <headerFooter>
    <oddHeader>&amp;C&amp;"-,Bold"PIP # - Program name - 2020-21 - Results Dashboard</oddHeader>
    <oddFooter>&amp;R&amp;P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249977111117893"/>
    <pageSetUpPr fitToPage="1"/>
  </sheetPr>
  <dimension ref="A1:AF241"/>
  <sheetViews>
    <sheetView showGridLines="0" zoomScaleNormal="100" zoomScaleSheetLayoutView="115" workbookViewId="0">
      <selection activeCell="D51" sqref="D51"/>
    </sheetView>
  </sheetViews>
  <sheetFormatPr defaultColWidth="9.109375" defaultRowHeight="14.4" x14ac:dyDescent="0.3"/>
  <cols>
    <col min="1" max="1" width="2.109375" style="1" customWidth="1"/>
    <col min="2" max="3" width="14.44140625" style="6" customWidth="1"/>
    <col min="4" max="4" width="13.6640625" style="6" customWidth="1"/>
    <col min="5" max="5" width="14.44140625" style="6" customWidth="1"/>
    <col min="6" max="7" width="14.44140625" style="6" bestFit="1" customWidth="1"/>
    <col min="8" max="8" width="8.88671875" style="6" bestFit="1" customWidth="1"/>
    <col min="9" max="9" width="15.88671875" style="6" customWidth="1"/>
    <col min="10" max="10" width="23.44140625" style="6" customWidth="1"/>
    <col min="11" max="11" width="9.44140625" style="8" customWidth="1"/>
    <col min="12" max="12" width="12.88671875" style="9" customWidth="1"/>
    <col min="13" max="13" width="13.6640625" style="9" customWidth="1"/>
    <col min="14" max="15" width="9.109375" style="2" customWidth="1"/>
    <col min="16" max="16" width="9.109375" style="5" customWidth="1"/>
    <col min="17" max="17" width="9.109375" style="2" customWidth="1"/>
    <col min="18" max="18" width="9.109375" style="7" customWidth="1"/>
    <col min="19" max="21" width="9.109375" style="2" customWidth="1"/>
    <col min="22" max="23" width="9.109375" customWidth="1"/>
    <col min="33" max="16384" width="9.109375" style="2"/>
  </cols>
  <sheetData>
    <row r="1" spans="2:32" ht="22.5" customHeight="1" x14ac:dyDescent="0.4">
      <c r="B1" s="150" t="s">
        <v>112</v>
      </c>
      <c r="C1" s="150"/>
      <c r="D1" s="150"/>
      <c r="E1" s="150"/>
      <c r="F1" s="150"/>
      <c r="G1" s="150"/>
      <c r="H1" s="150"/>
      <c r="I1" s="150"/>
      <c r="J1" s="150"/>
      <c r="K1" s="2"/>
      <c r="L1" s="117" t="s">
        <v>493</v>
      </c>
      <c r="M1" s="117"/>
      <c r="N1" s="117"/>
      <c r="O1" s="117"/>
      <c r="P1" s="117"/>
      <c r="Q1" s="117"/>
      <c r="R1"/>
      <c r="S1"/>
      <c r="T1"/>
      <c r="U1"/>
      <c r="AC1" s="2"/>
      <c r="AD1" s="2"/>
      <c r="AE1" s="2"/>
      <c r="AF1" s="2"/>
    </row>
    <row r="2" spans="2:32" ht="17.399999999999999" x14ac:dyDescent="0.3">
      <c r="B2" s="155" t="s">
        <v>103</v>
      </c>
      <c r="C2" s="155"/>
      <c r="D2" s="154"/>
      <c r="E2" s="154"/>
      <c r="F2" s="154"/>
      <c r="G2" s="154"/>
      <c r="H2" s="154"/>
      <c r="I2" s="154"/>
      <c r="J2" s="154"/>
      <c r="K2" s="2"/>
      <c r="L2" s="5"/>
      <c r="M2" s="2"/>
      <c r="N2" s="7"/>
      <c r="P2" s="2"/>
      <c r="R2"/>
      <c r="S2"/>
      <c r="T2"/>
      <c r="U2"/>
      <c r="AC2" s="2"/>
      <c r="AD2" s="2"/>
      <c r="AE2" s="2"/>
      <c r="AF2" s="2"/>
    </row>
    <row r="3" spans="2:32" ht="17.399999999999999" x14ac:dyDescent="0.3">
      <c r="B3" s="152" t="s">
        <v>133</v>
      </c>
      <c r="C3" s="152"/>
      <c r="D3" s="156"/>
      <c r="E3" s="156"/>
      <c r="F3" s="156"/>
      <c r="G3" s="156"/>
      <c r="H3" s="156"/>
      <c r="I3" s="156"/>
      <c r="J3" s="156"/>
      <c r="K3" s="12"/>
      <c r="L3" s="36"/>
      <c r="M3" s="36"/>
      <c r="N3" s="12"/>
      <c r="O3" s="37"/>
      <c r="P3" s="12"/>
      <c r="Q3" s="12"/>
      <c r="R3" s="12"/>
      <c r="S3"/>
      <c r="T3"/>
      <c r="U3"/>
      <c r="AC3" s="2"/>
      <c r="AD3" s="2"/>
      <c r="AE3" s="2"/>
      <c r="AF3" s="2"/>
    </row>
    <row r="4" spans="2:32" ht="17.399999999999999" x14ac:dyDescent="0.3">
      <c r="B4" s="152" t="s">
        <v>125</v>
      </c>
      <c r="C4" s="152"/>
      <c r="D4" s="162" t="s">
        <v>119</v>
      </c>
      <c r="E4" s="163"/>
      <c r="F4" s="164" t="str">
        <f>VLOOKUP(D4,'Drop Downs'!A85:B88,2,FALSE)</f>
        <v xml:space="preserve">Innovative and Sustainable Natural Resource Development </v>
      </c>
      <c r="G4" s="165"/>
      <c r="H4" s="165"/>
      <c r="I4" s="165"/>
      <c r="J4" s="166"/>
      <c r="K4" s="12"/>
      <c r="L4" s="36"/>
      <c r="M4" s="36"/>
      <c r="N4" s="12"/>
      <c r="O4" s="37"/>
      <c r="P4" s="12"/>
      <c r="Q4" s="12"/>
      <c r="R4" s="12"/>
      <c r="S4"/>
      <c r="T4"/>
      <c r="U4"/>
      <c r="AC4" s="2"/>
      <c r="AD4" s="2"/>
      <c r="AE4" s="2"/>
      <c r="AF4" s="2"/>
    </row>
    <row r="5" spans="2:32" ht="17.399999999999999" x14ac:dyDescent="0.3">
      <c r="B5" s="152" t="s">
        <v>138</v>
      </c>
      <c r="C5" s="152"/>
      <c r="D5" s="151"/>
      <c r="E5" s="151"/>
      <c r="F5" s="151"/>
      <c r="G5" s="151"/>
      <c r="H5" s="151"/>
      <c r="I5" s="151"/>
      <c r="J5" s="151"/>
      <c r="K5" s="12"/>
      <c r="L5" s="36"/>
      <c r="M5" s="36"/>
      <c r="N5" s="12"/>
      <c r="O5" s="37"/>
      <c r="P5" s="12"/>
      <c r="Q5" s="12"/>
      <c r="R5" s="12"/>
      <c r="S5"/>
      <c r="T5"/>
      <c r="U5"/>
      <c r="AC5" s="2"/>
      <c r="AD5" s="2"/>
      <c r="AE5" s="2"/>
      <c r="AF5" s="2"/>
    </row>
    <row r="6" spans="2:32" ht="15" customHeight="1" x14ac:dyDescent="0.3">
      <c r="B6" s="172" t="s">
        <v>176</v>
      </c>
      <c r="C6" s="173"/>
      <c r="D6" s="173"/>
      <c r="E6" s="173"/>
      <c r="F6" s="173"/>
      <c r="G6" s="173"/>
      <c r="H6" s="173"/>
      <c r="I6" s="173"/>
      <c r="J6" s="174"/>
      <c r="K6" s="12"/>
      <c r="L6" s="36"/>
      <c r="M6" s="36"/>
      <c r="N6" s="12"/>
      <c r="O6" s="37"/>
      <c r="P6" s="12"/>
      <c r="Q6" s="12"/>
      <c r="R6" s="12"/>
      <c r="S6"/>
      <c r="T6"/>
      <c r="U6"/>
      <c r="AC6" s="2"/>
      <c r="AD6" s="2"/>
      <c r="AE6" s="2"/>
      <c r="AF6" s="2"/>
    </row>
    <row r="7" spans="2:32" x14ac:dyDescent="0.3">
      <c r="B7" s="157" t="s">
        <v>134</v>
      </c>
      <c r="C7" s="158"/>
      <c r="D7" s="132"/>
      <c r="E7" s="133"/>
      <c r="F7" s="133"/>
      <c r="G7" s="133"/>
      <c r="H7" s="133"/>
      <c r="I7" s="133"/>
      <c r="J7" s="134"/>
      <c r="K7" s="12"/>
      <c r="L7" s="36"/>
      <c r="M7" s="36"/>
      <c r="N7" s="12"/>
      <c r="O7" s="37"/>
      <c r="P7" s="12"/>
      <c r="Q7" s="12"/>
      <c r="R7" s="12"/>
      <c r="S7"/>
      <c r="T7"/>
      <c r="U7"/>
      <c r="AC7" s="2"/>
      <c r="AD7" s="2"/>
      <c r="AE7" s="2"/>
      <c r="AF7" s="2"/>
    </row>
    <row r="8" spans="2:32" ht="15" customHeight="1" x14ac:dyDescent="0.3">
      <c r="B8" s="157" t="s">
        <v>135</v>
      </c>
      <c r="C8" s="158"/>
      <c r="D8" s="132"/>
      <c r="E8" s="133"/>
      <c r="F8" s="133"/>
      <c r="G8" s="133"/>
      <c r="H8" s="133"/>
      <c r="I8" s="133"/>
      <c r="J8" s="134"/>
      <c r="K8" s="2"/>
      <c r="L8" s="5"/>
      <c r="M8" s="2"/>
      <c r="N8" s="7"/>
      <c r="P8" s="2"/>
      <c r="R8"/>
      <c r="S8"/>
      <c r="T8"/>
      <c r="U8"/>
      <c r="AC8" s="2"/>
      <c r="AD8" s="2"/>
      <c r="AE8" s="2"/>
      <c r="AF8" s="2"/>
    </row>
    <row r="9" spans="2:32" x14ac:dyDescent="0.3">
      <c r="B9" s="159"/>
      <c r="C9" s="159"/>
      <c r="D9" s="159"/>
      <c r="E9" s="159"/>
      <c r="F9" s="159"/>
      <c r="G9" s="159"/>
      <c r="H9" s="159"/>
      <c r="I9" s="159"/>
      <c r="J9" s="159"/>
      <c r="K9" s="2"/>
      <c r="L9" s="5"/>
      <c r="M9" s="2"/>
      <c r="N9" s="7"/>
      <c r="P9" s="2"/>
      <c r="R9"/>
      <c r="S9"/>
      <c r="T9"/>
      <c r="U9"/>
      <c r="AC9" s="2"/>
      <c r="AD9" s="2"/>
      <c r="AE9" s="2"/>
      <c r="AF9" s="2"/>
    </row>
    <row r="10" spans="2:32" ht="15" customHeight="1" x14ac:dyDescent="0.3">
      <c r="B10" s="153" t="s">
        <v>102</v>
      </c>
      <c r="C10" s="153"/>
      <c r="D10" s="153"/>
      <c r="E10" s="153"/>
      <c r="F10" s="153"/>
      <c r="G10" s="153" t="s">
        <v>101</v>
      </c>
      <c r="H10" s="153"/>
      <c r="I10" s="160" t="s">
        <v>110</v>
      </c>
      <c r="J10" s="161"/>
      <c r="K10" s="2"/>
      <c r="L10" s="5"/>
      <c r="M10" s="2"/>
      <c r="N10" s="7"/>
      <c r="P10" s="2"/>
      <c r="R10"/>
      <c r="S10"/>
      <c r="T10"/>
      <c r="U10"/>
      <c r="AC10" s="2"/>
      <c r="AD10" s="2"/>
      <c r="AE10" s="2"/>
      <c r="AF10" s="2"/>
    </row>
    <row r="11" spans="2:32" x14ac:dyDescent="0.3">
      <c r="B11" s="151" t="s">
        <v>113</v>
      </c>
      <c r="C11" s="151"/>
      <c r="D11" s="151"/>
      <c r="E11" s="151"/>
      <c r="F11" s="151"/>
      <c r="G11" s="168" t="s">
        <v>127</v>
      </c>
      <c r="H11" s="168"/>
      <c r="I11" s="142"/>
      <c r="J11" s="143"/>
      <c r="K11" s="2"/>
      <c r="L11" s="5"/>
      <c r="M11" s="2"/>
      <c r="N11" s="7"/>
      <c r="P11" s="2"/>
      <c r="R11"/>
      <c r="S11"/>
      <c r="T11"/>
      <c r="U11"/>
      <c r="AC11" s="2"/>
      <c r="AD11" s="2"/>
      <c r="AE11" s="2"/>
      <c r="AF11" s="2"/>
    </row>
    <row r="12" spans="2:32" x14ac:dyDescent="0.3">
      <c r="B12" s="151" t="s">
        <v>136</v>
      </c>
      <c r="C12" s="151"/>
      <c r="D12" s="151"/>
      <c r="E12" s="151"/>
      <c r="F12" s="151"/>
      <c r="G12" s="168" t="s">
        <v>127</v>
      </c>
      <c r="H12" s="168"/>
      <c r="I12" s="142"/>
      <c r="J12" s="143"/>
      <c r="K12" s="2"/>
      <c r="L12" s="5"/>
      <c r="M12" s="2"/>
      <c r="N12" s="7"/>
      <c r="P12" s="2"/>
      <c r="R12"/>
      <c r="S12"/>
      <c r="T12"/>
      <c r="U12"/>
      <c r="AC12" s="2"/>
      <c r="AD12" s="2"/>
      <c r="AE12" s="2"/>
      <c r="AF12" s="2"/>
    </row>
    <row r="13" spans="2:32" ht="15" customHeight="1" x14ac:dyDescent="0.3">
      <c r="B13" s="151" t="s">
        <v>104</v>
      </c>
      <c r="C13" s="151"/>
      <c r="D13" s="151"/>
      <c r="E13" s="151"/>
      <c r="F13" s="151"/>
      <c r="G13" s="168" t="s">
        <v>127</v>
      </c>
      <c r="H13" s="168"/>
      <c r="I13" s="142"/>
      <c r="J13" s="143"/>
      <c r="K13" s="2"/>
      <c r="L13" s="5"/>
      <c r="M13" s="2"/>
      <c r="N13" s="7"/>
      <c r="P13" s="2"/>
      <c r="R13"/>
      <c r="S13"/>
      <c r="T13"/>
      <c r="U13"/>
      <c r="AC13" s="2"/>
      <c r="AD13" s="2"/>
      <c r="AE13" s="2"/>
      <c r="AF13" s="2"/>
    </row>
    <row r="14" spans="2:32" ht="21" x14ac:dyDescent="0.3">
      <c r="B14" s="141" t="s">
        <v>297</v>
      </c>
      <c r="C14" s="141"/>
      <c r="D14" s="141"/>
      <c r="E14" s="141"/>
      <c r="F14" s="141"/>
      <c r="G14" s="141"/>
      <c r="H14" s="141"/>
      <c r="I14" s="141"/>
      <c r="J14" s="141"/>
      <c r="K14" s="2"/>
      <c r="L14" s="5"/>
      <c r="M14" s="2"/>
      <c r="N14" s="7"/>
      <c r="P14" s="2"/>
      <c r="R14"/>
      <c r="S14"/>
      <c r="T14"/>
      <c r="U14"/>
      <c r="AC14" s="2"/>
      <c r="AD14" s="2"/>
      <c r="AE14" s="2"/>
      <c r="AF14" s="2"/>
    </row>
    <row r="15" spans="2:32" ht="109.5" customHeight="1" x14ac:dyDescent="0.3">
      <c r="B15" s="176" t="s">
        <v>177</v>
      </c>
      <c r="C15" s="177"/>
      <c r="D15" s="177"/>
      <c r="E15" s="177"/>
      <c r="F15" s="177"/>
      <c r="G15" s="177"/>
      <c r="H15" s="177"/>
      <c r="I15" s="177"/>
      <c r="J15" s="178"/>
      <c r="K15" s="2"/>
      <c r="L15" s="5"/>
      <c r="M15" s="2"/>
      <c r="N15" s="7"/>
      <c r="P15" s="2"/>
      <c r="R15"/>
      <c r="S15"/>
      <c r="T15"/>
      <c r="U15"/>
      <c r="AC15" s="2"/>
      <c r="AD15" s="2"/>
      <c r="AE15" s="2"/>
      <c r="AF15" s="2"/>
    </row>
    <row r="16" spans="2:32" ht="27.75" customHeight="1" x14ac:dyDescent="0.3">
      <c r="B16" s="141" t="s">
        <v>116</v>
      </c>
      <c r="C16" s="141"/>
      <c r="D16" s="141"/>
      <c r="E16" s="141"/>
      <c r="F16" s="141"/>
      <c r="G16" s="141"/>
      <c r="H16" s="141"/>
      <c r="I16" s="141"/>
      <c r="J16" s="141"/>
      <c r="K16" s="5"/>
      <c r="L16" s="7"/>
      <c r="M16" s="2"/>
      <c r="P16"/>
      <c r="Q16"/>
      <c r="R16"/>
      <c r="S16"/>
      <c r="T16"/>
      <c r="U16"/>
      <c r="AA16" s="2"/>
      <c r="AB16" s="2"/>
      <c r="AC16" s="2"/>
      <c r="AD16" s="2"/>
      <c r="AE16" s="2"/>
      <c r="AF16" s="2"/>
    </row>
    <row r="17" spans="1:32" x14ac:dyDescent="0.3">
      <c r="B17" s="160" t="s">
        <v>128</v>
      </c>
      <c r="C17" s="175"/>
      <c r="D17" s="175"/>
      <c r="E17" s="175"/>
      <c r="F17" s="175"/>
      <c r="G17" s="175"/>
      <c r="H17" s="175"/>
      <c r="I17" s="175"/>
      <c r="J17" s="161"/>
      <c r="K17" s="2"/>
      <c r="L17" s="5"/>
      <c r="M17" s="2"/>
      <c r="N17" s="7"/>
      <c r="P17" s="2"/>
      <c r="R17"/>
      <c r="S17"/>
      <c r="T17"/>
      <c r="U17"/>
      <c r="AC17" s="2"/>
      <c r="AD17" s="2"/>
      <c r="AE17" s="2"/>
      <c r="AF17" s="2"/>
    </row>
    <row r="18" spans="1:32" s="3" customFormat="1" ht="15" customHeight="1" x14ac:dyDescent="0.3">
      <c r="A18" s="1"/>
      <c r="B18" s="169"/>
      <c r="C18" s="170"/>
      <c r="D18" s="170"/>
      <c r="E18" s="170"/>
      <c r="F18" s="170"/>
      <c r="G18" s="170"/>
      <c r="H18" s="170"/>
      <c r="I18" s="170"/>
      <c r="J18" s="171"/>
    </row>
    <row r="19" spans="1:32" s="4" customFormat="1" x14ac:dyDescent="0.3">
      <c r="A19" s="1"/>
      <c r="B19" s="169"/>
      <c r="C19" s="170"/>
      <c r="D19" s="170"/>
      <c r="E19" s="170"/>
      <c r="F19" s="170"/>
      <c r="G19" s="170"/>
      <c r="H19" s="170"/>
      <c r="I19" s="170"/>
      <c r="J19" s="171"/>
    </row>
    <row r="20" spans="1:32" s="15" customFormat="1" x14ac:dyDescent="0.3">
      <c r="A20" s="1"/>
      <c r="B20" s="138" t="s">
        <v>453</v>
      </c>
      <c r="C20" s="139"/>
      <c r="D20" s="139"/>
      <c r="E20" s="139"/>
      <c r="F20" s="139"/>
      <c r="G20" s="139"/>
      <c r="H20" s="139"/>
      <c r="I20" s="139"/>
      <c r="J20" s="140"/>
    </row>
    <row r="21" spans="1:32" s="15" customFormat="1" x14ac:dyDescent="0.3">
      <c r="A21" s="1"/>
      <c r="B21" s="135" t="s">
        <v>459</v>
      </c>
      <c r="C21" s="136"/>
      <c r="D21" s="136"/>
      <c r="E21" s="136"/>
      <c r="F21" s="136"/>
      <c r="G21" s="136"/>
      <c r="H21" s="136"/>
      <c r="I21" s="136"/>
      <c r="J21" s="137"/>
    </row>
    <row r="22" spans="1:32" s="15" customFormat="1" x14ac:dyDescent="0.3">
      <c r="A22" s="1"/>
      <c r="B22" s="135" t="s">
        <v>461</v>
      </c>
      <c r="C22" s="136"/>
      <c r="D22" s="136"/>
      <c r="E22" s="136"/>
      <c r="F22" s="136"/>
      <c r="G22" s="136"/>
      <c r="H22" s="136"/>
      <c r="I22" s="136"/>
      <c r="J22" s="137"/>
    </row>
    <row r="23" spans="1:32" s="15" customFormat="1" x14ac:dyDescent="0.3">
      <c r="A23" s="1"/>
      <c r="B23" s="138" t="s">
        <v>477</v>
      </c>
      <c r="C23" s="139"/>
      <c r="D23" s="139"/>
      <c r="E23" s="139"/>
      <c r="F23" s="139"/>
      <c r="G23" s="139"/>
      <c r="H23" s="139"/>
      <c r="I23" s="139"/>
      <c r="J23" s="140"/>
    </row>
    <row r="24" spans="1:32" s="15" customFormat="1" x14ac:dyDescent="0.3">
      <c r="A24" s="1"/>
      <c r="B24" s="135" t="s">
        <v>3</v>
      </c>
      <c r="C24" s="136"/>
      <c r="D24" s="136"/>
      <c r="E24" s="136"/>
      <c r="F24" s="136"/>
      <c r="G24" s="136"/>
      <c r="H24" s="136"/>
      <c r="I24" s="136"/>
      <c r="J24" s="137"/>
    </row>
    <row r="25" spans="1:32" s="15" customFormat="1" x14ac:dyDescent="0.3">
      <c r="A25" s="1"/>
      <c r="B25" s="135" t="s">
        <v>497</v>
      </c>
      <c r="C25" s="136"/>
      <c r="D25" s="136"/>
      <c r="E25" s="136"/>
      <c r="F25" s="136"/>
      <c r="G25" s="136"/>
      <c r="H25" s="136"/>
      <c r="I25" s="136"/>
      <c r="J25" s="137"/>
    </row>
    <row r="26" spans="1:32" s="15" customFormat="1" x14ac:dyDescent="0.3">
      <c r="A26" s="1"/>
      <c r="B26" s="138" t="s">
        <v>298</v>
      </c>
      <c r="C26" s="139"/>
      <c r="D26" s="139"/>
      <c r="E26" s="139"/>
      <c r="F26" s="139"/>
      <c r="G26" s="139"/>
      <c r="H26" s="139"/>
      <c r="I26" s="139"/>
      <c r="J26" s="140"/>
    </row>
    <row r="27" spans="1:32" s="15" customFormat="1" x14ac:dyDescent="0.3">
      <c r="A27" s="1"/>
      <c r="B27" s="135" t="s">
        <v>3</v>
      </c>
      <c r="C27" s="136"/>
      <c r="D27" s="136"/>
      <c r="E27" s="136"/>
      <c r="F27" s="136"/>
      <c r="G27" s="136"/>
      <c r="H27" s="136"/>
      <c r="I27" s="136"/>
      <c r="J27" s="137"/>
    </row>
    <row r="28" spans="1:32" s="15" customFormat="1" x14ac:dyDescent="0.3">
      <c r="A28" s="1"/>
      <c r="B28" s="135" t="s">
        <v>3</v>
      </c>
      <c r="C28" s="136"/>
      <c r="D28" s="136"/>
      <c r="E28" s="136"/>
      <c r="F28" s="136"/>
      <c r="G28" s="136"/>
      <c r="H28" s="136"/>
      <c r="I28" s="136"/>
      <c r="J28" s="137"/>
    </row>
    <row r="29" spans="1:32" s="15" customFormat="1" x14ac:dyDescent="0.3">
      <c r="A29" s="1"/>
      <c r="B29" s="138" t="s">
        <v>141</v>
      </c>
      <c r="C29" s="139"/>
      <c r="D29" s="139"/>
      <c r="E29" s="139"/>
      <c r="F29" s="139"/>
      <c r="G29" s="139"/>
      <c r="H29" s="139"/>
      <c r="I29" s="139"/>
      <c r="J29" s="140"/>
    </row>
    <row r="30" spans="1:32" s="15" customFormat="1" x14ac:dyDescent="0.3">
      <c r="A30" s="1"/>
      <c r="B30" s="135" t="s">
        <v>3</v>
      </c>
      <c r="C30" s="136"/>
      <c r="D30" s="136"/>
      <c r="E30" s="136"/>
      <c r="F30" s="136"/>
      <c r="G30" s="136"/>
      <c r="H30" s="136"/>
      <c r="I30" s="136"/>
      <c r="J30" s="137"/>
    </row>
    <row r="31" spans="1:32" s="15" customFormat="1" x14ac:dyDescent="0.3">
      <c r="A31" s="1"/>
      <c r="B31" s="135" t="s">
        <v>3</v>
      </c>
      <c r="C31" s="136"/>
      <c r="D31" s="136"/>
      <c r="E31" s="136"/>
      <c r="F31" s="136"/>
      <c r="G31" s="136"/>
      <c r="H31" s="136"/>
      <c r="I31" s="136"/>
      <c r="J31" s="137"/>
    </row>
    <row r="32" spans="1:32" s="15" customFormat="1" x14ac:dyDescent="0.3">
      <c r="A32" s="1"/>
      <c r="B32" s="138" t="s">
        <v>159</v>
      </c>
      <c r="C32" s="139"/>
      <c r="D32" s="139"/>
      <c r="E32" s="139"/>
      <c r="F32" s="139"/>
      <c r="G32" s="139"/>
      <c r="H32" s="139"/>
      <c r="I32" s="139"/>
      <c r="J32" s="140"/>
    </row>
    <row r="33" spans="1:28" s="15" customFormat="1" x14ac:dyDescent="0.3">
      <c r="A33" s="1"/>
      <c r="B33" s="135" t="s">
        <v>3</v>
      </c>
      <c r="C33" s="136"/>
      <c r="D33" s="136"/>
      <c r="E33" s="136"/>
      <c r="F33" s="136"/>
      <c r="G33" s="136"/>
      <c r="H33" s="136"/>
      <c r="I33" s="136"/>
      <c r="J33" s="137"/>
    </row>
    <row r="34" spans="1:28" s="15" customFormat="1" x14ac:dyDescent="0.3">
      <c r="A34" s="1"/>
      <c r="B34" s="135" t="s">
        <v>3</v>
      </c>
      <c r="C34" s="136"/>
      <c r="D34" s="136"/>
      <c r="E34" s="136"/>
      <c r="F34" s="136"/>
      <c r="G34" s="136"/>
      <c r="H34" s="136"/>
      <c r="I34" s="136"/>
      <c r="J34" s="137"/>
    </row>
    <row r="35" spans="1:28" s="15" customFormat="1" x14ac:dyDescent="0.3">
      <c r="A35" s="1"/>
      <c r="B35" s="138" t="s">
        <v>340</v>
      </c>
      <c r="C35" s="139"/>
      <c r="D35" s="139"/>
      <c r="E35" s="139"/>
      <c r="F35" s="139"/>
      <c r="G35" s="139"/>
      <c r="H35" s="139"/>
      <c r="I35" s="139"/>
      <c r="J35" s="140"/>
    </row>
    <row r="36" spans="1:28" s="15" customFormat="1" x14ac:dyDescent="0.3">
      <c r="A36" s="1"/>
      <c r="B36" s="135" t="s">
        <v>3</v>
      </c>
      <c r="C36" s="136"/>
      <c r="D36" s="136"/>
      <c r="E36" s="136"/>
      <c r="F36" s="136"/>
      <c r="G36" s="136"/>
      <c r="H36" s="136"/>
      <c r="I36" s="136"/>
      <c r="J36" s="137"/>
    </row>
    <row r="37" spans="1:28" s="15" customFormat="1" x14ac:dyDescent="0.3">
      <c r="A37" s="1"/>
      <c r="B37" s="135" t="s">
        <v>3</v>
      </c>
      <c r="C37" s="136"/>
      <c r="D37" s="136"/>
      <c r="E37" s="136"/>
      <c r="F37" s="136"/>
      <c r="G37" s="136"/>
      <c r="H37" s="136"/>
      <c r="I37" s="136"/>
      <c r="J37" s="137"/>
    </row>
    <row r="38" spans="1:28" s="15" customFormat="1" x14ac:dyDescent="0.3">
      <c r="A38" s="1"/>
      <c r="B38" s="138" t="s">
        <v>343</v>
      </c>
      <c r="C38" s="139"/>
      <c r="D38" s="139"/>
      <c r="E38" s="139"/>
      <c r="F38" s="139"/>
      <c r="G38" s="139"/>
      <c r="H38" s="139"/>
      <c r="I38" s="139"/>
      <c r="J38" s="140"/>
    </row>
    <row r="39" spans="1:28" s="15" customFormat="1" x14ac:dyDescent="0.3">
      <c r="A39" s="1"/>
      <c r="B39" s="135" t="s">
        <v>348</v>
      </c>
      <c r="C39" s="136"/>
      <c r="D39" s="136"/>
      <c r="E39" s="136"/>
      <c r="F39" s="136"/>
      <c r="G39" s="136"/>
      <c r="H39" s="136"/>
      <c r="I39" s="136"/>
      <c r="J39" s="137"/>
    </row>
    <row r="40" spans="1:28" s="15" customFormat="1" x14ac:dyDescent="0.3">
      <c r="A40" s="1"/>
      <c r="B40" s="135" t="s">
        <v>353</v>
      </c>
      <c r="C40" s="136"/>
      <c r="D40" s="136"/>
      <c r="E40" s="136"/>
      <c r="F40" s="136"/>
      <c r="G40" s="136"/>
      <c r="H40" s="136"/>
      <c r="I40" s="136"/>
      <c r="J40" s="137"/>
    </row>
    <row r="41" spans="1:28" s="15" customFormat="1" x14ac:dyDescent="0.3">
      <c r="A41" s="1"/>
      <c r="B41" s="135" t="s">
        <v>374</v>
      </c>
      <c r="C41" s="136"/>
      <c r="D41" s="136"/>
      <c r="E41" s="136"/>
      <c r="F41" s="136"/>
      <c r="G41" s="136"/>
      <c r="H41" s="136"/>
      <c r="I41" s="136"/>
      <c r="J41" s="137"/>
    </row>
    <row r="42" spans="1:28" s="15" customFormat="1" x14ac:dyDescent="0.3">
      <c r="A42" s="1"/>
      <c r="B42" s="135" t="s">
        <v>3</v>
      </c>
      <c r="C42" s="136"/>
      <c r="D42" s="136"/>
      <c r="E42" s="136"/>
      <c r="F42" s="136"/>
      <c r="G42" s="136"/>
      <c r="H42" s="136"/>
      <c r="I42" s="136"/>
      <c r="J42" s="137"/>
    </row>
    <row r="43" spans="1:28" s="12" customFormat="1" x14ac:dyDescent="0.3">
      <c r="A43" s="1"/>
      <c r="B43" s="144" t="s">
        <v>341</v>
      </c>
      <c r="C43" s="145"/>
      <c r="D43" s="145"/>
      <c r="E43" s="145"/>
      <c r="F43" s="145"/>
      <c r="G43" s="145"/>
      <c r="H43" s="145"/>
      <c r="I43" s="145"/>
      <c r="J43" s="146"/>
      <c r="L43" s="36"/>
      <c r="N43" s="37"/>
      <c r="R43" s="80"/>
      <c r="S43" s="80"/>
      <c r="T43" s="80"/>
      <c r="U43" s="80"/>
      <c r="V43" s="80"/>
      <c r="W43" s="80"/>
      <c r="X43" s="80"/>
      <c r="Y43" s="80"/>
      <c r="Z43" s="80"/>
      <c r="AA43" s="80"/>
      <c r="AB43" s="80"/>
    </row>
    <row r="44" spans="1:28" s="12" customFormat="1" x14ac:dyDescent="0.3">
      <c r="A44" s="1"/>
      <c r="B44" s="147" t="s">
        <v>3</v>
      </c>
      <c r="C44" s="148"/>
      <c r="D44" s="148"/>
      <c r="E44" s="148"/>
      <c r="F44" s="148"/>
      <c r="G44" s="148"/>
      <c r="H44" s="148"/>
      <c r="I44" s="148"/>
      <c r="J44" s="149"/>
      <c r="L44" s="36"/>
      <c r="N44" s="37"/>
      <c r="R44" s="80"/>
      <c r="S44" s="80"/>
      <c r="T44" s="80"/>
      <c r="U44" s="80"/>
      <c r="V44" s="80"/>
      <c r="W44" s="80"/>
      <c r="X44" s="80"/>
      <c r="Y44" s="80"/>
      <c r="Z44" s="80"/>
      <c r="AA44" s="80"/>
      <c r="AB44" s="80"/>
    </row>
    <row r="45" spans="1:28" s="12" customFormat="1" x14ac:dyDescent="0.3">
      <c r="A45" s="1"/>
      <c r="B45" s="144" t="s">
        <v>342</v>
      </c>
      <c r="C45" s="145"/>
      <c r="D45" s="145"/>
      <c r="E45" s="145"/>
      <c r="F45" s="145"/>
      <c r="G45" s="145"/>
      <c r="H45" s="145"/>
      <c r="I45" s="145"/>
      <c r="J45" s="146"/>
      <c r="L45" s="36"/>
      <c r="N45" s="37"/>
      <c r="R45" s="80"/>
      <c r="S45" s="80"/>
      <c r="T45" s="80"/>
      <c r="U45" s="80"/>
      <c r="V45" s="80"/>
      <c r="W45" s="80"/>
      <c r="X45" s="80"/>
      <c r="Y45" s="80"/>
      <c r="Z45" s="80"/>
      <c r="AA45" s="80"/>
      <c r="AB45" s="80"/>
    </row>
    <row r="46" spans="1:28" s="12" customFormat="1" x14ac:dyDescent="0.3">
      <c r="A46" s="1"/>
      <c r="B46" s="147"/>
      <c r="C46" s="148"/>
      <c r="D46" s="148"/>
      <c r="E46" s="148"/>
      <c r="F46" s="148"/>
      <c r="G46" s="148"/>
      <c r="H46" s="148"/>
      <c r="I46" s="148"/>
      <c r="J46" s="149"/>
      <c r="L46" s="36"/>
      <c r="N46" s="37"/>
      <c r="R46" s="80"/>
      <c r="S46" s="80"/>
      <c r="T46" s="80"/>
      <c r="U46" s="80"/>
      <c r="V46" s="80"/>
      <c r="W46" s="80"/>
      <c r="X46" s="80"/>
      <c r="Y46" s="80"/>
      <c r="Z46" s="80"/>
      <c r="AA46" s="80"/>
      <c r="AB46" s="80"/>
    </row>
    <row r="47" spans="1:28" s="3" customFormat="1" ht="21" x14ac:dyDescent="0.3">
      <c r="A47" s="1"/>
      <c r="B47" s="141" t="s">
        <v>137</v>
      </c>
      <c r="C47" s="167"/>
      <c r="D47" s="167"/>
      <c r="E47" s="167"/>
      <c r="F47" s="167"/>
      <c r="G47" s="167"/>
      <c r="H47" s="167"/>
      <c r="I47" s="167"/>
      <c r="J47" s="167"/>
    </row>
    <row r="48" spans="1:28" s="14" customFormat="1" ht="28.8" x14ac:dyDescent="0.3">
      <c r="A48" s="1"/>
      <c r="B48" s="84" t="s">
        <v>140</v>
      </c>
      <c r="C48" s="181" t="s">
        <v>544</v>
      </c>
      <c r="D48" s="182"/>
      <c r="E48" s="182"/>
      <c r="F48" s="183"/>
      <c r="G48" s="181" t="s">
        <v>545</v>
      </c>
      <c r="H48" s="182"/>
      <c r="I48" s="182"/>
      <c r="J48" s="183"/>
    </row>
    <row r="49" spans="1:13" s="4" customFormat="1" ht="28.8" x14ac:dyDescent="0.3">
      <c r="A49" s="1"/>
      <c r="B49" s="83" t="s">
        <v>139</v>
      </c>
      <c r="C49" s="184" t="s">
        <v>546</v>
      </c>
      <c r="D49" s="185"/>
      <c r="E49" s="185"/>
      <c r="F49" s="185"/>
      <c r="G49" s="185"/>
      <c r="H49" s="185"/>
      <c r="I49" s="185"/>
      <c r="J49" s="186"/>
    </row>
    <row r="50" spans="1:13" s="3" customFormat="1" ht="28.8" x14ac:dyDescent="0.3">
      <c r="A50" s="1"/>
      <c r="B50" s="85" t="s">
        <v>178</v>
      </c>
      <c r="C50" s="187" t="s">
        <v>547</v>
      </c>
      <c r="D50" s="187"/>
      <c r="E50" s="187"/>
      <c r="F50" s="187"/>
      <c r="G50" s="187"/>
      <c r="H50" s="187"/>
      <c r="I50" s="188"/>
      <c r="J50" s="189"/>
    </row>
    <row r="51" spans="1:13" s="4" customFormat="1" ht="28.5" customHeight="1" x14ac:dyDescent="0.3">
      <c r="A51" s="1"/>
      <c r="B51" s="81" t="s">
        <v>180</v>
      </c>
      <c r="C51" s="81"/>
      <c r="D51" s="81"/>
      <c r="E51" s="81"/>
      <c r="F51" s="81"/>
      <c r="G51" s="179"/>
      <c r="H51" s="180"/>
      <c r="I51" s="81"/>
      <c r="J51" s="81"/>
    </row>
    <row r="52" spans="1:13" ht="30" customHeight="1" x14ac:dyDescent="0.3">
      <c r="B52" s="81" t="s">
        <v>331</v>
      </c>
      <c r="C52" s="81"/>
      <c r="D52" s="81"/>
      <c r="E52" s="81"/>
      <c r="F52" s="81"/>
      <c r="G52" s="179"/>
      <c r="H52" s="180"/>
      <c r="I52" s="81"/>
      <c r="J52" s="81"/>
      <c r="K52" s="66"/>
      <c r="L52" s="65"/>
      <c r="M52" s="65"/>
    </row>
    <row r="53" spans="1:13" x14ac:dyDescent="0.3">
      <c r="B53" s="10"/>
      <c r="C53" s="10"/>
      <c r="D53" s="10"/>
      <c r="E53" s="10"/>
      <c r="F53" s="10"/>
      <c r="G53" s="10"/>
      <c r="H53" s="10"/>
      <c r="I53" s="10"/>
      <c r="J53" s="10"/>
      <c r="K53" s="66"/>
      <c r="L53" s="65"/>
      <c r="M53" s="65"/>
    </row>
    <row r="54" spans="1:13" x14ac:dyDescent="0.3">
      <c r="B54" s="10"/>
      <c r="C54" s="10"/>
      <c r="D54" s="10"/>
      <c r="E54" s="10"/>
      <c r="F54" s="10"/>
      <c r="G54" s="10"/>
      <c r="H54" s="10"/>
      <c r="I54" s="10"/>
      <c r="J54" s="10"/>
      <c r="K54" s="66"/>
      <c r="L54" s="65"/>
      <c r="M54" s="65"/>
    </row>
    <row r="55" spans="1:13" x14ac:dyDescent="0.3">
      <c r="B55" s="10"/>
      <c r="C55" s="10"/>
      <c r="D55" s="10"/>
      <c r="E55" s="10"/>
      <c r="F55" s="10"/>
      <c r="G55" s="10"/>
      <c r="H55" s="10"/>
      <c r="I55" s="10"/>
      <c r="J55" s="10"/>
      <c r="K55" s="66"/>
      <c r="L55" s="65"/>
      <c r="M55" s="65"/>
    </row>
    <row r="56" spans="1:13" x14ac:dyDescent="0.3">
      <c r="B56" s="10"/>
      <c r="C56" s="10"/>
      <c r="D56" s="10"/>
      <c r="E56" s="10"/>
      <c r="F56" s="10"/>
      <c r="G56" s="10"/>
      <c r="H56" s="10"/>
      <c r="I56" s="10"/>
      <c r="J56" s="10"/>
      <c r="K56" s="66"/>
      <c r="L56" s="65"/>
      <c r="M56" s="65"/>
    </row>
    <row r="57" spans="1:13" x14ac:dyDescent="0.3">
      <c r="B57" s="10"/>
      <c r="C57" s="10"/>
      <c r="D57" s="10"/>
      <c r="E57" s="10"/>
      <c r="F57" s="10"/>
      <c r="G57" s="10"/>
      <c r="H57" s="10"/>
      <c r="I57" s="10"/>
      <c r="J57" s="10"/>
      <c r="K57" s="66"/>
      <c r="L57" s="65"/>
      <c r="M57" s="65"/>
    </row>
    <row r="58" spans="1:13" x14ac:dyDescent="0.3">
      <c r="B58" s="10"/>
      <c r="C58" s="10"/>
      <c r="D58" s="10"/>
      <c r="E58" s="10"/>
      <c r="F58" s="10"/>
      <c r="G58" s="10"/>
      <c r="H58" s="10"/>
      <c r="I58" s="10"/>
      <c r="J58" s="10"/>
      <c r="K58" s="66"/>
      <c r="L58" s="65"/>
      <c r="M58" s="65"/>
    </row>
    <row r="59" spans="1:13" x14ac:dyDescent="0.3">
      <c r="B59" s="10"/>
      <c r="C59" s="10"/>
      <c r="D59" s="10"/>
      <c r="E59" s="10"/>
      <c r="F59" s="10"/>
      <c r="G59" s="10"/>
      <c r="H59" s="10"/>
      <c r="I59" s="10"/>
      <c r="J59" s="10"/>
      <c r="K59" s="66"/>
      <c r="L59" s="65"/>
      <c r="M59" s="65"/>
    </row>
    <row r="60" spans="1:13" x14ac:dyDescent="0.3">
      <c r="B60" s="10"/>
      <c r="C60" s="10"/>
      <c r="D60" s="10"/>
      <c r="E60" s="10"/>
      <c r="F60" s="10"/>
      <c r="G60" s="10"/>
      <c r="H60" s="10"/>
      <c r="I60" s="10"/>
      <c r="J60" s="10"/>
      <c r="K60" s="66"/>
      <c r="L60" s="65"/>
      <c r="M60" s="65"/>
    </row>
    <row r="61" spans="1:13" x14ac:dyDescent="0.3">
      <c r="B61" s="10"/>
      <c r="C61" s="10"/>
      <c r="D61" s="10"/>
      <c r="E61" s="10"/>
      <c r="F61" s="10"/>
      <c r="G61" s="10"/>
      <c r="H61" s="10"/>
      <c r="I61" s="10"/>
      <c r="J61" s="10"/>
      <c r="K61" s="66"/>
      <c r="L61" s="65"/>
      <c r="M61" s="65"/>
    </row>
    <row r="62" spans="1:13" x14ac:dyDescent="0.3">
      <c r="B62" s="10"/>
      <c r="C62" s="10"/>
      <c r="D62" s="10"/>
      <c r="E62" s="10"/>
      <c r="F62" s="10"/>
      <c r="G62" s="10"/>
      <c r="H62" s="10"/>
      <c r="I62" s="10"/>
      <c r="J62" s="10"/>
      <c r="K62" s="66"/>
      <c r="L62" s="65"/>
      <c r="M62" s="65"/>
    </row>
    <row r="63" spans="1:13" x14ac:dyDescent="0.3">
      <c r="B63" s="10"/>
      <c r="C63" s="10"/>
      <c r="D63" s="10"/>
      <c r="E63" s="10"/>
      <c r="F63" s="10"/>
      <c r="G63" s="10"/>
      <c r="H63" s="10"/>
      <c r="I63" s="10"/>
      <c r="J63" s="10"/>
      <c r="K63" s="66"/>
      <c r="L63" s="65"/>
      <c r="M63" s="65"/>
    </row>
    <row r="64" spans="1:13" x14ac:dyDescent="0.3">
      <c r="B64" s="10"/>
      <c r="C64" s="10"/>
      <c r="D64" s="10"/>
      <c r="E64" s="10"/>
      <c r="F64" s="10"/>
      <c r="G64" s="10"/>
      <c r="H64" s="10"/>
      <c r="I64" s="10"/>
      <c r="J64" s="10"/>
      <c r="K64" s="66"/>
      <c r="L64" s="65"/>
      <c r="M64" s="65"/>
    </row>
    <row r="65" spans="2:13" x14ac:dyDescent="0.3">
      <c r="B65" s="10"/>
      <c r="C65" s="10"/>
      <c r="D65" s="10"/>
      <c r="E65" s="10"/>
      <c r="F65" s="10"/>
      <c r="G65" s="10"/>
      <c r="H65" s="10"/>
      <c r="I65" s="10"/>
      <c r="J65" s="10"/>
      <c r="K65" s="66"/>
      <c r="L65" s="65"/>
      <c r="M65" s="65"/>
    </row>
    <row r="66" spans="2:13" x14ac:dyDescent="0.3">
      <c r="B66" s="10"/>
      <c r="C66" s="10"/>
      <c r="D66" s="10"/>
      <c r="E66" s="10"/>
      <c r="F66" s="10"/>
      <c r="G66" s="10"/>
      <c r="H66" s="10"/>
      <c r="I66" s="10"/>
      <c r="J66" s="10"/>
      <c r="K66" s="66"/>
      <c r="L66" s="65"/>
      <c r="M66" s="65"/>
    </row>
    <row r="67" spans="2:13" x14ac:dyDescent="0.3">
      <c r="B67" s="10"/>
      <c r="C67" s="10"/>
      <c r="D67" s="10"/>
      <c r="E67" s="10"/>
      <c r="F67" s="10"/>
      <c r="G67" s="10"/>
      <c r="H67" s="10"/>
      <c r="I67" s="10"/>
      <c r="J67" s="10"/>
      <c r="K67" s="66"/>
      <c r="L67" s="65"/>
      <c r="M67" s="65"/>
    </row>
    <row r="68" spans="2:13" x14ac:dyDescent="0.3">
      <c r="B68" s="10"/>
      <c r="C68" s="10"/>
      <c r="D68" s="10"/>
      <c r="E68" s="10"/>
      <c r="F68" s="10"/>
      <c r="G68" s="10"/>
      <c r="H68" s="10"/>
      <c r="I68" s="10"/>
      <c r="J68" s="10"/>
      <c r="K68" s="66"/>
      <c r="L68" s="65"/>
      <c r="M68" s="65"/>
    </row>
    <row r="69" spans="2:13" x14ac:dyDescent="0.3">
      <c r="B69" s="10"/>
      <c r="C69" s="10"/>
      <c r="D69" s="10"/>
      <c r="E69" s="10"/>
      <c r="F69" s="10"/>
      <c r="G69" s="10"/>
      <c r="H69" s="10"/>
      <c r="I69" s="10"/>
      <c r="J69" s="10"/>
      <c r="K69" s="66"/>
      <c r="L69" s="65"/>
      <c r="M69" s="65"/>
    </row>
    <row r="70" spans="2:13" x14ac:dyDescent="0.3">
      <c r="B70" s="10"/>
      <c r="C70" s="10"/>
      <c r="D70" s="10"/>
      <c r="E70" s="10"/>
      <c r="F70" s="10"/>
      <c r="G70" s="10"/>
      <c r="H70" s="10"/>
      <c r="I70" s="10"/>
      <c r="J70" s="10"/>
      <c r="K70" s="66"/>
      <c r="L70" s="65"/>
      <c r="M70" s="65"/>
    </row>
    <row r="71" spans="2:13" x14ac:dyDescent="0.3">
      <c r="B71" s="10"/>
      <c r="C71" s="10"/>
      <c r="D71" s="10"/>
      <c r="E71" s="10"/>
      <c r="F71" s="10"/>
      <c r="G71" s="10"/>
      <c r="H71" s="10"/>
      <c r="I71" s="10"/>
      <c r="J71" s="10"/>
      <c r="K71" s="66"/>
      <c r="L71" s="65"/>
      <c r="M71" s="65"/>
    </row>
    <row r="72" spans="2:13" x14ac:dyDescent="0.3">
      <c r="B72" s="10"/>
      <c r="C72" s="10"/>
      <c r="D72" s="10"/>
      <c r="E72" s="10"/>
      <c r="F72" s="10"/>
      <c r="G72" s="10"/>
      <c r="H72" s="10"/>
      <c r="I72" s="10"/>
      <c r="J72" s="10"/>
      <c r="K72" s="66"/>
      <c r="L72" s="65"/>
      <c r="M72" s="65"/>
    </row>
    <row r="73" spans="2:13" x14ac:dyDescent="0.3">
      <c r="B73" s="10"/>
      <c r="C73" s="10"/>
      <c r="D73" s="10"/>
      <c r="E73" s="10"/>
      <c r="F73" s="10"/>
      <c r="G73" s="10"/>
      <c r="H73" s="10"/>
      <c r="I73" s="10"/>
      <c r="J73" s="10"/>
      <c r="K73" s="66"/>
      <c r="L73" s="65"/>
      <c r="M73" s="65"/>
    </row>
    <row r="74" spans="2:13" x14ac:dyDescent="0.3">
      <c r="B74" s="10"/>
      <c r="C74" s="10"/>
      <c r="D74" s="10"/>
      <c r="E74" s="10"/>
      <c r="F74" s="10"/>
      <c r="G74" s="10"/>
      <c r="H74" s="10"/>
      <c r="I74" s="10"/>
      <c r="J74" s="10"/>
      <c r="K74" s="66"/>
      <c r="L74" s="65"/>
      <c r="M74" s="65"/>
    </row>
    <row r="75" spans="2:13" x14ac:dyDescent="0.3">
      <c r="B75" s="10"/>
      <c r="C75" s="10"/>
      <c r="D75" s="10"/>
      <c r="E75" s="10"/>
      <c r="F75" s="10"/>
      <c r="G75" s="10"/>
      <c r="H75" s="10"/>
      <c r="I75" s="10"/>
      <c r="J75" s="10"/>
      <c r="K75" s="66"/>
      <c r="L75" s="65"/>
      <c r="M75" s="65"/>
    </row>
    <row r="76" spans="2:13" x14ac:dyDescent="0.3">
      <c r="B76" s="10"/>
      <c r="C76" s="10"/>
      <c r="D76" s="10"/>
      <c r="E76" s="10"/>
      <c r="F76" s="10"/>
      <c r="G76" s="10"/>
      <c r="H76" s="10"/>
      <c r="I76" s="10"/>
      <c r="J76" s="10"/>
      <c r="K76" s="66"/>
      <c r="L76" s="65"/>
      <c r="M76" s="65"/>
    </row>
    <row r="77" spans="2:13" x14ac:dyDescent="0.3">
      <c r="B77" s="10"/>
      <c r="C77" s="10"/>
      <c r="D77" s="10"/>
      <c r="E77" s="10"/>
      <c r="F77" s="10"/>
      <c r="G77" s="10"/>
      <c r="H77" s="10"/>
      <c r="I77" s="10"/>
      <c r="J77" s="10"/>
      <c r="K77" s="66"/>
      <c r="L77" s="65"/>
      <c r="M77" s="65"/>
    </row>
    <row r="78" spans="2:13" x14ac:dyDescent="0.3">
      <c r="B78" s="10"/>
      <c r="C78" s="10"/>
      <c r="D78" s="10"/>
      <c r="E78" s="10"/>
      <c r="F78" s="10"/>
      <c r="G78" s="10"/>
      <c r="H78" s="10"/>
      <c r="I78" s="10"/>
      <c r="J78" s="10"/>
      <c r="K78" s="66"/>
      <c r="L78" s="65"/>
      <c r="M78" s="65"/>
    </row>
    <row r="79" spans="2:13" x14ac:dyDescent="0.3">
      <c r="K79" s="66"/>
      <c r="L79" s="65"/>
      <c r="M79" s="65"/>
    </row>
    <row r="80" spans="2:13" x14ac:dyDescent="0.3">
      <c r="K80" s="66"/>
      <c r="L80" s="65"/>
      <c r="M80" s="65"/>
    </row>
    <row r="81" spans="11:13" x14ac:dyDescent="0.3">
      <c r="K81" s="66"/>
      <c r="L81" s="65"/>
      <c r="M81" s="65"/>
    </row>
    <row r="82" spans="11:13" x14ac:dyDescent="0.3">
      <c r="K82" s="66"/>
      <c r="L82" s="65"/>
      <c r="M82" s="65"/>
    </row>
    <row r="83" spans="11:13" x14ac:dyDescent="0.3">
      <c r="K83" s="66"/>
      <c r="L83" s="65"/>
      <c r="M83" s="65"/>
    </row>
    <row r="84" spans="11:13" x14ac:dyDescent="0.3">
      <c r="K84" s="66"/>
      <c r="L84" s="65"/>
      <c r="M84" s="65"/>
    </row>
    <row r="85" spans="11:13" x14ac:dyDescent="0.3">
      <c r="K85" s="66"/>
      <c r="L85" s="65"/>
      <c r="M85" s="65"/>
    </row>
    <row r="86" spans="11:13" x14ac:dyDescent="0.3">
      <c r="K86" s="66"/>
      <c r="L86" s="65"/>
      <c r="M86" s="65"/>
    </row>
    <row r="87" spans="11:13" x14ac:dyDescent="0.3">
      <c r="K87" s="66"/>
      <c r="L87" s="65"/>
      <c r="M87" s="65"/>
    </row>
    <row r="88" spans="11:13" x14ac:dyDescent="0.3">
      <c r="K88" s="66"/>
      <c r="L88" s="65"/>
      <c r="M88" s="65"/>
    </row>
    <row r="89" spans="11:13" x14ac:dyDescent="0.3">
      <c r="K89" s="66"/>
      <c r="L89" s="65"/>
      <c r="M89" s="65"/>
    </row>
    <row r="90" spans="11:13" x14ac:dyDescent="0.3">
      <c r="K90" s="66"/>
      <c r="L90" s="65"/>
      <c r="M90" s="65"/>
    </row>
    <row r="91" spans="11:13" x14ac:dyDescent="0.3">
      <c r="K91" s="66"/>
      <c r="L91" s="65"/>
      <c r="M91" s="65"/>
    </row>
    <row r="92" spans="11:13" x14ac:dyDescent="0.3">
      <c r="K92" s="66"/>
      <c r="L92" s="65"/>
      <c r="M92" s="65"/>
    </row>
    <row r="93" spans="11:13" x14ac:dyDescent="0.3">
      <c r="K93" s="66"/>
      <c r="L93" s="65"/>
      <c r="M93" s="65"/>
    </row>
    <row r="94" spans="11:13" x14ac:dyDescent="0.3">
      <c r="K94" s="66"/>
      <c r="L94" s="65"/>
      <c r="M94" s="65"/>
    </row>
    <row r="95" spans="11:13" x14ac:dyDescent="0.3">
      <c r="K95" s="66"/>
      <c r="L95" s="65"/>
      <c r="M95" s="65"/>
    </row>
    <row r="96" spans="11:13" x14ac:dyDescent="0.3">
      <c r="K96" s="66"/>
      <c r="L96" s="65"/>
      <c r="M96" s="65"/>
    </row>
    <row r="97" spans="11:13" x14ac:dyDescent="0.3">
      <c r="K97" s="66"/>
      <c r="L97" s="65"/>
      <c r="M97" s="65"/>
    </row>
    <row r="98" spans="11:13" x14ac:dyDescent="0.3">
      <c r="K98" s="66"/>
      <c r="L98" s="65"/>
      <c r="M98" s="65"/>
    </row>
    <row r="99" spans="11:13" x14ac:dyDescent="0.3">
      <c r="K99" s="66"/>
      <c r="L99" s="65"/>
      <c r="M99" s="65"/>
    </row>
    <row r="100" spans="11:13" x14ac:dyDescent="0.3">
      <c r="K100" s="66"/>
      <c r="L100" s="65"/>
      <c r="M100" s="65"/>
    </row>
    <row r="101" spans="11:13" x14ac:dyDescent="0.3">
      <c r="K101" s="66"/>
      <c r="L101" s="65"/>
      <c r="M101" s="65"/>
    </row>
    <row r="102" spans="11:13" x14ac:dyDescent="0.3">
      <c r="K102" s="66"/>
      <c r="L102" s="65"/>
      <c r="M102" s="65"/>
    </row>
    <row r="103" spans="11:13" x14ac:dyDescent="0.3">
      <c r="K103" s="66"/>
      <c r="L103" s="65"/>
      <c r="M103" s="65"/>
    </row>
    <row r="104" spans="11:13" x14ac:dyDescent="0.3">
      <c r="K104" s="66"/>
      <c r="L104" s="65"/>
      <c r="M104" s="65"/>
    </row>
    <row r="105" spans="11:13" x14ac:dyDescent="0.3">
      <c r="K105" s="66"/>
      <c r="L105" s="65"/>
      <c r="M105" s="65"/>
    </row>
    <row r="106" spans="11:13" x14ac:dyDescent="0.3">
      <c r="K106" s="66"/>
      <c r="L106" s="65"/>
      <c r="M106" s="65"/>
    </row>
    <row r="107" spans="11:13" x14ac:dyDescent="0.3">
      <c r="K107" s="66"/>
      <c r="L107" s="65"/>
      <c r="M107" s="65"/>
    </row>
    <row r="108" spans="11:13" x14ac:dyDescent="0.3">
      <c r="K108" s="66"/>
      <c r="L108" s="65"/>
      <c r="M108" s="65"/>
    </row>
    <row r="109" spans="11:13" x14ac:dyDescent="0.3">
      <c r="K109" s="66"/>
      <c r="L109" s="65"/>
      <c r="M109" s="65"/>
    </row>
    <row r="110" spans="11:13" x14ac:dyDescent="0.3">
      <c r="K110" s="66"/>
      <c r="L110" s="65"/>
      <c r="M110" s="65"/>
    </row>
    <row r="111" spans="11:13" x14ac:dyDescent="0.3">
      <c r="K111" s="66"/>
      <c r="L111" s="65"/>
      <c r="M111" s="65"/>
    </row>
    <row r="112" spans="11:13" x14ac:dyDescent="0.3">
      <c r="K112" s="66"/>
      <c r="L112" s="65"/>
      <c r="M112" s="65"/>
    </row>
    <row r="113" spans="11:13" x14ac:dyDescent="0.3">
      <c r="K113" s="66"/>
      <c r="L113" s="65"/>
      <c r="M113" s="65"/>
    </row>
    <row r="114" spans="11:13" x14ac:dyDescent="0.3">
      <c r="K114" s="66"/>
      <c r="L114" s="65"/>
      <c r="M114" s="65"/>
    </row>
    <row r="115" spans="11:13" x14ac:dyDescent="0.3">
      <c r="K115" s="66"/>
      <c r="L115" s="65"/>
      <c r="M115" s="65"/>
    </row>
    <row r="116" spans="11:13" x14ac:dyDescent="0.3">
      <c r="K116" s="66"/>
      <c r="L116" s="65"/>
      <c r="M116" s="65"/>
    </row>
    <row r="117" spans="11:13" x14ac:dyDescent="0.3">
      <c r="K117" s="66"/>
      <c r="L117" s="65"/>
      <c r="M117" s="65"/>
    </row>
    <row r="118" spans="11:13" x14ac:dyDescent="0.3">
      <c r="K118" s="66"/>
      <c r="L118" s="65"/>
      <c r="M118" s="65"/>
    </row>
    <row r="119" spans="11:13" x14ac:dyDescent="0.3">
      <c r="K119" s="66"/>
      <c r="L119" s="65"/>
      <c r="M119" s="65"/>
    </row>
    <row r="120" spans="11:13" x14ac:dyDescent="0.3">
      <c r="K120" s="66"/>
      <c r="L120" s="65"/>
      <c r="M120" s="65"/>
    </row>
    <row r="121" spans="11:13" x14ac:dyDescent="0.3">
      <c r="K121" s="66"/>
      <c r="L121" s="65"/>
      <c r="M121" s="65"/>
    </row>
    <row r="122" spans="11:13" x14ac:dyDescent="0.3">
      <c r="K122" s="66"/>
      <c r="L122" s="65"/>
      <c r="M122" s="65"/>
    </row>
    <row r="123" spans="11:13" x14ac:dyDescent="0.3">
      <c r="K123" s="66"/>
      <c r="L123" s="65"/>
      <c r="M123" s="65"/>
    </row>
    <row r="124" spans="11:13" x14ac:dyDescent="0.3">
      <c r="K124" s="66"/>
      <c r="L124" s="65"/>
      <c r="M124" s="65"/>
    </row>
    <row r="125" spans="11:13" x14ac:dyDescent="0.3">
      <c r="K125" s="66"/>
      <c r="L125" s="65"/>
      <c r="M125" s="65"/>
    </row>
    <row r="126" spans="11:13" x14ac:dyDescent="0.3">
      <c r="K126" s="66"/>
      <c r="L126" s="65"/>
      <c r="M126" s="65"/>
    </row>
    <row r="127" spans="11:13" x14ac:dyDescent="0.3">
      <c r="K127" s="66"/>
      <c r="L127" s="65"/>
      <c r="M127" s="65"/>
    </row>
    <row r="128" spans="11:13" x14ac:dyDescent="0.3">
      <c r="K128" s="66"/>
      <c r="L128" s="65"/>
      <c r="M128" s="65"/>
    </row>
    <row r="129" spans="11:13" x14ac:dyDescent="0.3">
      <c r="K129" s="66"/>
      <c r="L129" s="65"/>
      <c r="M129" s="65"/>
    </row>
    <row r="130" spans="11:13" x14ac:dyDescent="0.3">
      <c r="K130" s="66"/>
      <c r="L130" s="65"/>
      <c r="M130" s="65"/>
    </row>
    <row r="131" spans="11:13" x14ac:dyDescent="0.3">
      <c r="K131" s="66"/>
      <c r="L131" s="65"/>
      <c r="M131" s="65"/>
    </row>
    <row r="132" spans="11:13" x14ac:dyDescent="0.3">
      <c r="K132" s="66"/>
      <c r="L132" s="65"/>
      <c r="M132" s="65"/>
    </row>
    <row r="133" spans="11:13" x14ac:dyDescent="0.3">
      <c r="K133" s="66"/>
      <c r="L133" s="65"/>
      <c r="M133" s="65"/>
    </row>
    <row r="134" spans="11:13" x14ac:dyDescent="0.3">
      <c r="K134" s="66"/>
      <c r="L134" s="65"/>
      <c r="M134" s="65"/>
    </row>
    <row r="135" spans="11:13" x14ac:dyDescent="0.3">
      <c r="K135" s="66"/>
      <c r="L135" s="65"/>
      <c r="M135" s="65"/>
    </row>
    <row r="136" spans="11:13" x14ac:dyDescent="0.3">
      <c r="K136" s="66"/>
      <c r="L136" s="65"/>
      <c r="M136" s="65"/>
    </row>
    <row r="137" spans="11:13" x14ac:dyDescent="0.3">
      <c r="K137" s="66"/>
      <c r="L137" s="65"/>
      <c r="M137" s="65"/>
    </row>
    <row r="138" spans="11:13" x14ac:dyDescent="0.3">
      <c r="K138" s="66"/>
      <c r="L138" s="65"/>
      <c r="M138" s="65"/>
    </row>
    <row r="139" spans="11:13" x14ac:dyDescent="0.3">
      <c r="K139" s="66"/>
      <c r="L139" s="65"/>
      <c r="M139" s="65"/>
    </row>
    <row r="140" spans="11:13" x14ac:dyDescent="0.3">
      <c r="K140" s="66"/>
      <c r="L140" s="65"/>
      <c r="M140" s="65"/>
    </row>
    <row r="141" spans="11:13" x14ac:dyDescent="0.3">
      <c r="K141" s="66"/>
      <c r="L141" s="65"/>
      <c r="M141" s="65"/>
    </row>
    <row r="142" spans="11:13" x14ac:dyDescent="0.3">
      <c r="K142" s="66"/>
      <c r="L142" s="65"/>
      <c r="M142" s="65"/>
    </row>
    <row r="143" spans="11:13" x14ac:dyDescent="0.3">
      <c r="K143" s="66"/>
      <c r="L143" s="65"/>
      <c r="M143" s="65"/>
    </row>
    <row r="144" spans="11:13" x14ac:dyDescent="0.3">
      <c r="K144" s="66"/>
      <c r="L144" s="65"/>
      <c r="M144" s="65"/>
    </row>
    <row r="145" spans="11:13" x14ac:dyDescent="0.3">
      <c r="K145" s="66"/>
      <c r="L145" s="65"/>
      <c r="M145" s="65"/>
    </row>
    <row r="146" spans="11:13" x14ac:dyDescent="0.3">
      <c r="K146" s="66"/>
      <c r="L146" s="65"/>
      <c r="M146" s="65"/>
    </row>
    <row r="147" spans="11:13" x14ac:dyDescent="0.3">
      <c r="K147" s="66"/>
      <c r="L147" s="65"/>
      <c r="M147" s="65"/>
    </row>
    <row r="148" spans="11:13" x14ac:dyDescent="0.3">
      <c r="K148" s="66"/>
      <c r="L148" s="65"/>
      <c r="M148" s="65"/>
    </row>
    <row r="149" spans="11:13" x14ac:dyDescent="0.3">
      <c r="K149" s="66"/>
      <c r="L149" s="65"/>
      <c r="M149" s="65"/>
    </row>
    <row r="150" spans="11:13" x14ac:dyDescent="0.3">
      <c r="K150" s="66"/>
      <c r="L150" s="65"/>
      <c r="M150" s="65"/>
    </row>
    <row r="151" spans="11:13" x14ac:dyDescent="0.3">
      <c r="K151" s="66"/>
      <c r="L151" s="65"/>
      <c r="M151" s="65"/>
    </row>
    <row r="152" spans="11:13" x14ac:dyDescent="0.3">
      <c r="K152" s="66"/>
      <c r="L152" s="65"/>
      <c r="M152" s="65"/>
    </row>
    <row r="153" spans="11:13" x14ac:dyDescent="0.3">
      <c r="K153" s="66"/>
      <c r="L153" s="65"/>
      <c r="M153" s="65"/>
    </row>
    <row r="154" spans="11:13" x14ac:dyDescent="0.3">
      <c r="K154" s="66"/>
      <c r="L154" s="65"/>
      <c r="M154" s="65"/>
    </row>
    <row r="155" spans="11:13" x14ac:dyDescent="0.3">
      <c r="K155" s="66"/>
      <c r="L155" s="65"/>
      <c r="M155" s="65"/>
    </row>
    <row r="156" spans="11:13" x14ac:dyDescent="0.3">
      <c r="K156" s="66"/>
      <c r="L156" s="65"/>
      <c r="M156" s="65"/>
    </row>
    <row r="157" spans="11:13" x14ac:dyDescent="0.3">
      <c r="K157" s="66"/>
      <c r="L157" s="65"/>
      <c r="M157" s="65"/>
    </row>
    <row r="158" spans="11:13" x14ac:dyDescent="0.3">
      <c r="K158" s="66"/>
      <c r="L158" s="65"/>
      <c r="M158" s="65"/>
    </row>
    <row r="159" spans="11:13" x14ac:dyDescent="0.3">
      <c r="K159" s="66"/>
      <c r="L159" s="65"/>
      <c r="M159" s="65"/>
    </row>
    <row r="160" spans="11:13" x14ac:dyDescent="0.3">
      <c r="K160" s="66"/>
      <c r="L160" s="65"/>
      <c r="M160" s="65"/>
    </row>
    <row r="161" spans="11:13" x14ac:dyDescent="0.3">
      <c r="K161" s="66"/>
      <c r="L161" s="65"/>
      <c r="M161" s="65"/>
    </row>
    <row r="162" spans="11:13" x14ac:dyDescent="0.3">
      <c r="K162" s="66"/>
      <c r="L162" s="65"/>
      <c r="M162" s="65"/>
    </row>
    <row r="163" spans="11:13" x14ac:dyDescent="0.3">
      <c r="K163" s="66"/>
      <c r="L163" s="65"/>
      <c r="M163" s="65"/>
    </row>
    <row r="164" spans="11:13" x14ac:dyDescent="0.3">
      <c r="K164" s="66"/>
      <c r="L164" s="65"/>
      <c r="M164" s="65"/>
    </row>
    <row r="165" spans="11:13" x14ac:dyDescent="0.3">
      <c r="K165" s="66"/>
      <c r="L165" s="65"/>
      <c r="M165" s="65"/>
    </row>
    <row r="166" spans="11:13" x14ac:dyDescent="0.3">
      <c r="K166" s="66"/>
      <c r="L166" s="65"/>
      <c r="M166" s="65"/>
    </row>
    <row r="167" spans="11:13" x14ac:dyDescent="0.3">
      <c r="K167" s="66"/>
      <c r="L167" s="65"/>
      <c r="M167" s="65"/>
    </row>
    <row r="168" spans="11:13" x14ac:dyDescent="0.3">
      <c r="K168" s="66"/>
      <c r="L168" s="65"/>
      <c r="M168" s="65"/>
    </row>
    <row r="169" spans="11:13" x14ac:dyDescent="0.3">
      <c r="K169" s="66"/>
      <c r="L169" s="65"/>
      <c r="M169" s="65"/>
    </row>
    <row r="170" spans="11:13" x14ac:dyDescent="0.3">
      <c r="K170" s="66"/>
      <c r="L170" s="65"/>
      <c r="M170" s="65"/>
    </row>
    <row r="171" spans="11:13" x14ac:dyDescent="0.3">
      <c r="K171" s="66"/>
      <c r="L171" s="65"/>
      <c r="M171" s="65"/>
    </row>
    <row r="172" spans="11:13" x14ac:dyDescent="0.3">
      <c r="K172" s="66"/>
      <c r="L172" s="65"/>
      <c r="M172" s="65"/>
    </row>
    <row r="173" spans="11:13" x14ac:dyDescent="0.3">
      <c r="K173" s="66"/>
      <c r="L173" s="65"/>
      <c r="M173" s="65"/>
    </row>
    <row r="174" spans="11:13" x14ac:dyDescent="0.3">
      <c r="K174" s="66"/>
      <c r="L174" s="65"/>
      <c r="M174" s="65"/>
    </row>
    <row r="175" spans="11:13" x14ac:dyDescent="0.3">
      <c r="K175" s="66"/>
      <c r="L175" s="65"/>
      <c r="M175" s="65"/>
    </row>
    <row r="176" spans="11:13" x14ac:dyDescent="0.3">
      <c r="K176" s="66"/>
      <c r="L176" s="65"/>
      <c r="M176" s="65"/>
    </row>
    <row r="177" spans="11:13" x14ac:dyDescent="0.3">
      <c r="K177" s="66"/>
      <c r="L177" s="65"/>
      <c r="M177" s="65"/>
    </row>
    <row r="178" spans="11:13" x14ac:dyDescent="0.3">
      <c r="K178" s="66"/>
      <c r="L178" s="65"/>
      <c r="M178" s="65"/>
    </row>
    <row r="179" spans="11:13" x14ac:dyDescent="0.3">
      <c r="K179" s="66"/>
      <c r="L179" s="65"/>
      <c r="M179" s="65"/>
    </row>
    <row r="180" spans="11:13" x14ac:dyDescent="0.3">
      <c r="K180" s="66"/>
      <c r="L180" s="65"/>
      <c r="M180" s="65"/>
    </row>
    <row r="181" spans="11:13" x14ac:dyDescent="0.3">
      <c r="K181" s="66"/>
      <c r="L181" s="65"/>
      <c r="M181" s="65"/>
    </row>
    <row r="182" spans="11:13" x14ac:dyDescent="0.3">
      <c r="K182" s="66"/>
      <c r="L182" s="65"/>
      <c r="M182" s="65"/>
    </row>
    <row r="183" spans="11:13" x14ac:dyDescent="0.3">
      <c r="K183" s="66"/>
      <c r="L183" s="65"/>
      <c r="M183" s="65"/>
    </row>
    <row r="184" spans="11:13" x14ac:dyDescent="0.3">
      <c r="K184" s="66"/>
      <c r="L184" s="65"/>
      <c r="M184" s="65"/>
    </row>
    <row r="185" spans="11:13" x14ac:dyDescent="0.3">
      <c r="K185" s="66"/>
      <c r="L185" s="65"/>
      <c r="M185" s="65"/>
    </row>
    <row r="186" spans="11:13" x14ac:dyDescent="0.3">
      <c r="K186" s="66"/>
      <c r="L186" s="65"/>
      <c r="M186" s="65"/>
    </row>
    <row r="187" spans="11:13" x14ac:dyDescent="0.3">
      <c r="K187" s="66"/>
      <c r="L187" s="65"/>
      <c r="M187" s="65"/>
    </row>
    <row r="188" spans="11:13" x14ac:dyDescent="0.3">
      <c r="K188" s="66"/>
      <c r="L188" s="65"/>
      <c r="M188" s="65"/>
    </row>
    <row r="189" spans="11:13" x14ac:dyDescent="0.3">
      <c r="K189" s="66"/>
      <c r="L189" s="65"/>
      <c r="M189" s="65"/>
    </row>
    <row r="190" spans="11:13" x14ac:dyDescent="0.3">
      <c r="K190" s="66"/>
      <c r="L190" s="65"/>
      <c r="M190" s="65"/>
    </row>
    <row r="191" spans="11:13" x14ac:dyDescent="0.3">
      <c r="K191" s="66"/>
      <c r="L191" s="65"/>
      <c r="M191" s="65"/>
    </row>
    <row r="192" spans="11:13" x14ac:dyDescent="0.3">
      <c r="K192" s="66"/>
      <c r="L192" s="65"/>
      <c r="M192" s="65"/>
    </row>
    <row r="193" spans="11:13" x14ac:dyDescent="0.3">
      <c r="K193" s="66"/>
      <c r="L193" s="65"/>
      <c r="M193" s="65"/>
    </row>
    <row r="194" spans="11:13" x14ac:dyDescent="0.3">
      <c r="K194" s="66"/>
      <c r="L194" s="65"/>
      <c r="M194" s="65"/>
    </row>
    <row r="195" spans="11:13" x14ac:dyDescent="0.3">
      <c r="K195" s="66"/>
      <c r="L195" s="65"/>
      <c r="M195" s="65"/>
    </row>
    <row r="196" spans="11:13" x14ac:dyDescent="0.3">
      <c r="K196" s="66"/>
      <c r="L196" s="65"/>
      <c r="M196" s="65"/>
    </row>
    <row r="197" spans="11:13" x14ac:dyDescent="0.3">
      <c r="K197" s="66"/>
      <c r="L197" s="65"/>
      <c r="M197" s="65"/>
    </row>
    <row r="198" spans="11:13" x14ac:dyDescent="0.3">
      <c r="K198" s="66"/>
      <c r="L198" s="65"/>
      <c r="M198" s="65"/>
    </row>
    <row r="199" spans="11:13" x14ac:dyDescent="0.3">
      <c r="K199" s="66"/>
      <c r="L199" s="65"/>
      <c r="M199" s="65"/>
    </row>
    <row r="200" spans="11:13" x14ac:dyDescent="0.3">
      <c r="K200" s="66"/>
      <c r="L200" s="65"/>
      <c r="M200" s="65"/>
    </row>
    <row r="201" spans="11:13" x14ac:dyDescent="0.3">
      <c r="K201" s="66"/>
      <c r="L201" s="65"/>
      <c r="M201" s="65"/>
    </row>
    <row r="202" spans="11:13" x14ac:dyDescent="0.3">
      <c r="K202" s="66"/>
      <c r="L202" s="65"/>
      <c r="M202" s="65"/>
    </row>
    <row r="203" spans="11:13" x14ac:dyDescent="0.3">
      <c r="K203" s="66"/>
      <c r="L203" s="65"/>
      <c r="M203" s="65"/>
    </row>
    <row r="204" spans="11:13" x14ac:dyDescent="0.3">
      <c r="K204" s="66"/>
      <c r="L204" s="65"/>
      <c r="M204" s="65"/>
    </row>
    <row r="205" spans="11:13" x14ac:dyDescent="0.3">
      <c r="K205" s="66"/>
      <c r="L205" s="65"/>
      <c r="M205" s="65"/>
    </row>
    <row r="206" spans="11:13" x14ac:dyDescent="0.3">
      <c r="K206" s="66"/>
      <c r="L206" s="65"/>
      <c r="M206" s="65"/>
    </row>
    <row r="207" spans="11:13" x14ac:dyDescent="0.3">
      <c r="K207" s="66"/>
      <c r="L207" s="65"/>
      <c r="M207" s="65"/>
    </row>
    <row r="208" spans="11:13" x14ac:dyDescent="0.3">
      <c r="K208" s="66"/>
      <c r="L208" s="65"/>
      <c r="M208" s="65"/>
    </row>
    <row r="209" spans="11:13" x14ac:dyDescent="0.3">
      <c r="K209" s="66"/>
      <c r="L209" s="65"/>
      <c r="M209" s="65"/>
    </row>
    <row r="210" spans="11:13" x14ac:dyDescent="0.3">
      <c r="K210" s="66"/>
      <c r="L210" s="65"/>
      <c r="M210" s="65"/>
    </row>
    <row r="211" spans="11:13" x14ac:dyDescent="0.3">
      <c r="K211" s="66"/>
      <c r="L211" s="65"/>
      <c r="M211" s="65"/>
    </row>
    <row r="212" spans="11:13" x14ac:dyDescent="0.3">
      <c r="K212" s="66"/>
      <c r="L212" s="65"/>
      <c r="M212" s="65"/>
    </row>
    <row r="213" spans="11:13" x14ac:dyDescent="0.3">
      <c r="K213" s="66"/>
      <c r="L213" s="65"/>
      <c r="M213" s="65"/>
    </row>
    <row r="214" spans="11:13" x14ac:dyDescent="0.3">
      <c r="K214" s="66"/>
      <c r="L214" s="65"/>
      <c r="M214" s="65"/>
    </row>
    <row r="215" spans="11:13" x14ac:dyDescent="0.3">
      <c r="K215" s="66"/>
      <c r="L215" s="65"/>
      <c r="M215" s="65"/>
    </row>
    <row r="216" spans="11:13" x14ac:dyDescent="0.3">
      <c r="K216" s="66"/>
      <c r="L216" s="65"/>
      <c r="M216" s="65"/>
    </row>
    <row r="217" spans="11:13" x14ac:dyDescent="0.3">
      <c r="K217" s="66"/>
      <c r="L217" s="65"/>
      <c r="M217" s="65"/>
    </row>
    <row r="218" spans="11:13" x14ac:dyDescent="0.3">
      <c r="K218" s="66"/>
      <c r="L218" s="65"/>
      <c r="M218" s="65"/>
    </row>
    <row r="219" spans="11:13" x14ac:dyDescent="0.3">
      <c r="K219" s="66"/>
      <c r="L219" s="65"/>
      <c r="M219" s="65"/>
    </row>
    <row r="220" spans="11:13" x14ac:dyDescent="0.3">
      <c r="K220" s="66"/>
      <c r="L220" s="65"/>
      <c r="M220" s="65"/>
    </row>
    <row r="221" spans="11:13" x14ac:dyDescent="0.3">
      <c r="K221" s="66"/>
      <c r="L221" s="65"/>
      <c r="M221" s="65"/>
    </row>
    <row r="222" spans="11:13" x14ac:dyDescent="0.3">
      <c r="K222" s="66"/>
      <c r="L222" s="65"/>
      <c r="M222" s="65"/>
    </row>
    <row r="223" spans="11:13" x14ac:dyDescent="0.3">
      <c r="K223" s="66"/>
      <c r="L223" s="65"/>
      <c r="M223" s="65"/>
    </row>
    <row r="224" spans="11:13" x14ac:dyDescent="0.3">
      <c r="K224" s="66"/>
      <c r="L224" s="65"/>
      <c r="M224" s="65"/>
    </row>
    <row r="225" spans="11:13" x14ac:dyDescent="0.3">
      <c r="K225" s="66"/>
      <c r="L225" s="65"/>
      <c r="M225" s="65"/>
    </row>
    <row r="226" spans="11:13" x14ac:dyDescent="0.3">
      <c r="K226" s="66"/>
      <c r="L226" s="65"/>
      <c r="M226" s="65"/>
    </row>
    <row r="227" spans="11:13" x14ac:dyDescent="0.3">
      <c r="K227" s="66"/>
      <c r="L227" s="65"/>
      <c r="M227" s="65"/>
    </row>
    <row r="228" spans="11:13" x14ac:dyDescent="0.3">
      <c r="K228" s="66"/>
      <c r="L228" s="65"/>
      <c r="M228" s="65"/>
    </row>
    <row r="229" spans="11:13" x14ac:dyDescent="0.3">
      <c r="K229" s="66"/>
      <c r="L229" s="65"/>
      <c r="M229" s="65"/>
    </row>
    <row r="230" spans="11:13" x14ac:dyDescent="0.3">
      <c r="K230" s="66"/>
      <c r="L230" s="65"/>
      <c r="M230" s="65"/>
    </row>
    <row r="231" spans="11:13" x14ac:dyDescent="0.3">
      <c r="K231" s="66"/>
      <c r="L231" s="65"/>
      <c r="M231" s="65"/>
    </row>
    <row r="232" spans="11:13" x14ac:dyDescent="0.3">
      <c r="K232" s="66"/>
      <c r="L232" s="65"/>
      <c r="M232" s="65"/>
    </row>
    <row r="233" spans="11:13" x14ac:dyDescent="0.3">
      <c r="K233" s="66"/>
      <c r="L233" s="65"/>
      <c r="M233" s="65"/>
    </row>
    <row r="234" spans="11:13" x14ac:dyDescent="0.3">
      <c r="K234" s="66"/>
      <c r="L234" s="65"/>
      <c r="M234" s="65"/>
    </row>
    <row r="235" spans="11:13" x14ac:dyDescent="0.3">
      <c r="K235" s="66"/>
      <c r="L235" s="65"/>
      <c r="M235" s="65"/>
    </row>
    <row r="236" spans="11:13" x14ac:dyDescent="0.3">
      <c r="K236" s="66"/>
      <c r="L236" s="65"/>
      <c r="M236" s="65"/>
    </row>
    <row r="237" spans="11:13" x14ac:dyDescent="0.3">
      <c r="K237" s="66"/>
      <c r="L237" s="65"/>
      <c r="M237" s="65"/>
    </row>
    <row r="238" spans="11:13" x14ac:dyDescent="0.3">
      <c r="K238" s="66"/>
      <c r="L238" s="65"/>
      <c r="M238" s="65"/>
    </row>
    <row r="239" spans="11:13" x14ac:dyDescent="0.3">
      <c r="K239" s="66"/>
      <c r="L239" s="65"/>
      <c r="M239" s="65"/>
    </row>
    <row r="240" spans="11:13" x14ac:dyDescent="0.3">
      <c r="K240" s="66"/>
      <c r="L240" s="65"/>
      <c r="M240" s="65"/>
    </row>
    <row r="241" spans="11:13" x14ac:dyDescent="0.3">
      <c r="K241" s="66"/>
      <c r="L241" s="65"/>
      <c r="M241" s="65"/>
    </row>
  </sheetData>
  <sheetProtection selectLockedCells="1"/>
  <customSheetViews>
    <customSheetView guid="{C027A51B-3846-42F2-87D7-90F43FA3A501}" scale="110" showPageBreaks="1" showGridLines="0" printArea="1" hiddenColumns="1" view="pageBreakPreview" topLeftCell="B64">
      <selection activeCell="C65" sqref="C65:I65"/>
      <rowBreaks count="13" manualBreakCount="13">
        <brk id="23" min="1" max="8" man="1"/>
        <brk id="43" min="1" max="8" man="1"/>
        <brk id="59" min="1" max="8" man="1"/>
        <brk id="75" min="1" max="8" man="1"/>
        <brk id="91" min="1" max="8" man="1"/>
        <brk id="107" min="1" max="8" man="1"/>
        <brk id="123" min="1" max="8" man="1"/>
        <brk id="139" min="1" max="8" man="1"/>
        <brk id="155" min="1" max="8" man="1"/>
        <brk id="171" min="1" max="8" man="1"/>
        <brk id="187" min="1" max="8" man="1"/>
        <brk id="203" min="1" max="8" man="1"/>
        <brk id="232" min="1" max="8" man="1"/>
      </rowBreaks>
      <pageMargins left="0.25" right="0.25" top="0.5" bottom="0.25" header="0.3" footer="0.3"/>
      <printOptions horizontalCentered="1"/>
      <pageSetup fitToHeight="0" orientation="landscape" r:id="rId1"/>
      <headerFooter>
        <oddHeader>&amp;R&amp;"-,Bold"&amp;KFF0000DRAFT</oddHeader>
        <oddFooter>&amp;R&amp;10page &amp;P of &amp;N</oddFooter>
      </headerFooter>
    </customSheetView>
  </customSheetViews>
  <mergeCells count="71">
    <mergeCell ref="B46:J46"/>
    <mergeCell ref="G51:H51"/>
    <mergeCell ref="G52:H52"/>
    <mergeCell ref="G48:J48"/>
    <mergeCell ref="C49:J49"/>
    <mergeCell ref="C48:F48"/>
    <mergeCell ref="C50:D50"/>
    <mergeCell ref="E50:F50"/>
    <mergeCell ref="G50:H50"/>
    <mergeCell ref="I50:J50"/>
    <mergeCell ref="F4:J4"/>
    <mergeCell ref="B47:J47"/>
    <mergeCell ref="B16:J16"/>
    <mergeCell ref="B12:F12"/>
    <mergeCell ref="G11:H11"/>
    <mergeCell ref="G12:H12"/>
    <mergeCell ref="B11:F11"/>
    <mergeCell ref="B18:J18"/>
    <mergeCell ref="B6:J6"/>
    <mergeCell ref="I12:J12"/>
    <mergeCell ref="B19:J19"/>
    <mergeCell ref="B17:J17"/>
    <mergeCell ref="B15:J15"/>
    <mergeCell ref="I13:J13"/>
    <mergeCell ref="G13:H13"/>
    <mergeCell ref="B13:F13"/>
    <mergeCell ref="B1:J1"/>
    <mergeCell ref="D5:J5"/>
    <mergeCell ref="B3:C3"/>
    <mergeCell ref="G10:H10"/>
    <mergeCell ref="D8:J8"/>
    <mergeCell ref="D2:J2"/>
    <mergeCell ref="B2:C2"/>
    <mergeCell ref="D3:J3"/>
    <mergeCell ref="B5:C5"/>
    <mergeCell ref="B7:C7"/>
    <mergeCell ref="B8:C8"/>
    <mergeCell ref="B9:J9"/>
    <mergeCell ref="I10:J10"/>
    <mergeCell ref="B10:F10"/>
    <mergeCell ref="B4:C4"/>
    <mergeCell ref="D4:E4"/>
    <mergeCell ref="B37:J37"/>
    <mergeCell ref="B43:J43"/>
    <mergeCell ref="B44:J44"/>
    <mergeCell ref="B45:J45"/>
    <mergeCell ref="B27:J27"/>
    <mergeCell ref="B30:J30"/>
    <mergeCell ref="B39:J39"/>
    <mergeCell ref="B40:J40"/>
    <mergeCell ref="B41:J41"/>
    <mergeCell ref="B38:J38"/>
    <mergeCell ref="B31:J31"/>
    <mergeCell ref="B28:J28"/>
    <mergeCell ref="B36:J36"/>
    <mergeCell ref="B33:J33"/>
    <mergeCell ref="B42:J42"/>
    <mergeCell ref="D7:J7"/>
    <mergeCell ref="B22:J22"/>
    <mergeCell ref="B35:J35"/>
    <mergeCell ref="B34:J34"/>
    <mergeCell ref="B23:J23"/>
    <mergeCell ref="B26:J26"/>
    <mergeCell ref="B29:J29"/>
    <mergeCell ref="B32:J32"/>
    <mergeCell ref="B20:J20"/>
    <mergeCell ref="B25:J25"/>
    <mergeCell ref="B14:J14"/>
    <mergeCell ref="I11:J11"/>
    <mergeCell ref="B21:J21"/>
    <mergeCell ref="B24:J24"/>
  </mergeCells>
  <dataValidations count="8">
    <dataValidation type="list" allowBlank="1" showInputMessage="1" showErrorMessage="1" sqref="G11:H13">
      <formula1>"Not Approved,Approved"</formula1>
    </dataValidation>
    <dataValidation type="textLength" operator="lessThanOrEqual" allowBlank="1" showInputMessage="1" showErrorMessage="1" errorTitle="Maximum Text Length Exceeded" error="TBS has set a maximum text length of 1000 characters for the program description.  This should be an &quot;executive summary&quot; of the program." sqref="B15:J15">
      <formula1>1000</formula1>
    </dataValidation>
    <dataValidation type="list" allowBlank="1" showInputMessage="1" showErrorMessage="1" sqref="B36:J37">
      <formula1>Intervention_Type</formula1>
    </dataValidation>
    <dataValidation type="date" operator="greaterThan" allowBlank="1" showInputMessage="1" showErrorMessage="1" errorTitle="Date required" error="Please use the format &quot;YYYY-MM-DD&quot;" sqref="I11:J13">
      <formula1>40269</formula1>
    </dataValidation>
    <dataValidation type="list" allowBlank="1" showInputMessage="1" showErrorMessage="1" sqref="D4">
      <formula1>Core_Responsibility</formula1>
    </dataValidation>
    <dataValidation operator="lessThanOrEqual" allowBlank="1" showInputMessage="1" showErrorMessage="1" errorTitle="Maximum Text Length Exceeded" error="This field has a maximum allowable characters of 650." sqref="G50 E50 I50 C50"/>
    <dataValidation type="list" allowBlank="1" showInputMessage="1" showErrorMessage="1" sqref="B18:J19">
      <formula1>INDIRECT(SUBSTITUTE($D$4," ",""))</formula1>
    </dataValidation>
    <dataValidation type="list" allowBlank="1" showInputMessage="1" showErrorMessage="1" sqref="B21:J22">
      <formula1>INDIRECT(SUBSTITUTE($D$4," ","") &amp;"x")</formula1>
    </dataValidation>
  </dataValidations>
  <hyperlinks>
    <hyperlink ref="L1:Q1" r:id="rId2" display="Guide to NRCan's Bi-Annual PIP Updates"/>
    <hyperlink ref="B6:J6" r:id="rId3" location="rpb/.-.-(subject.-.-'dept_134.-.-preferDeptBreakout.-.-true.-.-mode.-.-'details.-.-table.-.-'programSpending.-.-columns.-.-(.-.-'*7b*7bpa_last_year*7d*7dexp.-.-'*7b*7bplanning_year_1*7d*7d).-.-dimens" display="Actual Spending (as per GC InfoBase)"/>
  </hyperlinks>
  <printOptions horizontalCentered="1"/>
  <pageMargins left="0.11811023622047245" right="0.11811023622047245" top="0.51181102362204722" bottom="0.23622047244094491" header="0.31496062992125984" footer="0.31496062992125984"/>
  <pageSetup scale="77" fitToHeight="0" orientation="portrait" horizontalDpi="1200" verticalDpi="1200" r:id="rId4"/>
  <headerFooter>
    <oddHeader>&amp;C&amp;"-,Bold"PIP # - Program name - 2020-21 - Tombstone Data&amp;R&amp;"-,Bold"&amp;KFF0000DRAFT</oddHeader>
    <oddFooter>&amp;R&amp;10page &amp;P of &amp;N</oddFooter>
  </headerFooter>
  <rowBreaks count="1" manualBreakCount="1">
    <brk id="15" min="1" max="9" man="1"/>
  </rowBreaks>
  <colBreaks count="1" manualBreakCount="1">
    <brk id="1" max="1048575" man="1"/>
  </colBreaks>
  <legacyDrawing r:id="rId5"/>
  <extLst>
    <ext xmlns:x14="http://schemas.microsoft.com/office/spreadsheetml/2009/9/main" uri="{CCE6A557-97BC-4b89-ADB6-D9C93CAAB3DF}">
      <x14:dataValidations xmlns:xm="http://schemas.microsoft.com/office/excel/2006/main" count="6">
        <x14:dataValidation type="list" allowBlank="1" showInputMessage="1" showErrorMessage="1">
          <x14:formula1>
            <xm:f>'Drop Downs'!$F$57:$F$73</xm:f>
          </x14:formula1>
          <xm:sqref>B33:J34</xm:sqref>
        </x14:dataValidation>
        <x14:dataValidation type="list" allowBlank="1" showInputMessage="1" showErrorMessage="1">
          <x14:formula1>
            <xm:f>'Drop Downs'!$H$25:$H$34</xm:f>
          </x14:formula1>
          <xm:sqref>B30:J31</xm:sqref>
        </x14:dataValidation>
        <x14:dataValidation type="list" allowBlank="1" showInputMessage="1" showErrorMessage="1">
          <x14:formula1>
            <xm:f>'Drop Downs'!$A$249:$A$267</xm:f>
          </x14:formula1>
          <xm:sqref>B44:J44</xm:sqref>
        </x14:dataValidation>
        <x14:dataValidation type="list" allowBlank="1" showInputMessage="1" showErrorMessage="1">
          <x14:formula1>
            <xm:f>'Drop Downs'!$A$287:$A$305</xm:f>
          </x14:formula1>
          <xm:sqref>B24:J25</xm:sqref>
        </x14:dataValidation>
        <x14:dataValidation type="list" allowBlank="1" showInputMessage="1" showErrorMessage="1">
          <x14:formula1>
            <xm:f>'Drop Downs'!$A$158:$A$246</xm:f>
          </x14:formula1>
          <xm:sqref>B39:J42</xm:sqref>
        </x14:dataValidation>
        <x14:dataValidation type="list" allowBlank="1" showInputMessage="1" showErrorMessage="1">
          <x14:formula1>
            <xm:f>'Drop Downs'!$A$122:$A$155</xm:f>
          </x14:formula1>
          <xm:sqref>B27:J28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249977111117893"/>
    <pageSetUpPr fitToPage="1"/>
  </sheetPr>
  <dimension ref="A1:AL114"/>
  <sheetViews>
    <sheetView tabSelected="1" topLeftCell="S2" zoomScaleNormal="100" workbookViewId="0">
      <pane ySplit="1" topLeftCell="A3" activePane="bottomLeft" state="frozen"/>
      <selection activeCell="E2" sqref="E2"/>
      <selection pane="bottomLeft" activeCell="AD2" sqref="AD2"/>
    </sheetView>
  </sheetViews>
  <sheetFormatPr defaultColWidth="8.88671875" defaultRowHeight="14.4" x14ac:dyDescent="0.3"/>
  <cols>
    <col min="1" max="1" width="12.109375" customWidth="1"/>
    <col min="2" max="2" width="11.33203125" customWidth="1"/>
    <col min="3" max="3" width="11.44140625" customWidth="1"/>
    <col min="4" max="5" width="11.44140625" style="80" customWidth="1"/>
    <col min="6" max="6" width="11.88671875" customWidth="1"/>
    <col min="7" max="10" width="13.44140625" style="80" customWidth="1"/>
    <col min="11" max="11" width="11.88671875" style="80" customWidth="1"/>
    <col min="12" max="12" width="11.44140625" bestFit="1" customWidth="1"/>
    <col min="14" max="14" width="11.44140625" customWidth="1"/>
    <col min="15" max="15" width="11.44140625" style="80" customWidth="1"/>
    <col min="17" max="17" width="9.109375" style="80"/>
    <col min="18" max="21" width="8.88671875" style="80"/>
    <col min="28" max="28" width="9.109375" style="80"/>
    <col min="29" max="29" width="26.33203125" style="80" customWidth="1"/>
    <col min="30" max="30" width="37.33203125" customWidth="1"/>
  </cols>
  <sheetData>
    <row r="1" spans="1:38" ht="28.5" hidden="1" customHeight="1" x14ac:dyDescent="0.4">
      <c r="A1" s="190" t="s">
        <v>179</v>
      </c>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F1" s="117" t="s">
        <v>493</v>
      </c>
      <c r="AG1" s="117"/>
      <c r="AH1" s="117"/>
      <c r="AI1" s="117"/>
      <c r="AJ1" s="117"/>
      <c r="AK1" s="117"/>
      <c r="AL1" s="116"/>
    </row>
    <row r="2" spans="1:38" ht="156.75" customHeight="1" x14ac:dyDescent="0.3">
      <c r="A2" s="67" t="s">
        <v>530</v>
      </c>
      <c r="B2" s="67" t="s">
        <v>115</v>
      </c>
      <c r="C2" s="67" t="s">
        <v>172</v>
      </c>
      <c r="D2" s="67" t="s">
        <v>540</v>
      </c>
      <c r="E2" s="67" t="s">
        <v>541</v>
      </c>
      <c r="F2" s="67" t="s">
        <v>200</v>
      </c>
      <c r="G2" s="67" t="s">
        <v>517</v>
      </c>
      <c r="H2" s="67" t="s">
        <v>531</v>
      </c>
      <c r="I2" s="67" t="s">
        <v>532</v>
      </c>
      <c r="J2" s="67" t="s">
        <v>533</v>
      </c>
      <c r="K2" s="67" t="s">
        <v>516</v>
      </c>
      <c r="L2" s="68" t="s">
        <v>2</v>
      </c>
      <c r="M2" s="67" t="s">
        <v>175</v>
      </c>
      <c r="N2" s="67" t="s">
        <v>173</v>
      </c>
      <c r="O2" s="67" t="s">
        <v>523</v>
      </c>
      <c r="P2" s="67" t="s">
        <v>174</v>
      </c>
      <c r="Q2" s="67" t="s">
        <v>534</v>
      </c>
      <c r="R2" s="67" t="s">
        <v>537</v>
      </c>
      <c r="S2" s="67" t="s">
        <v>538</v>
      </c>
      <c r="T2" s="67" t="s">
        <v>539</v>
      </c>
      <c r="U2" s="67" t="s">
        <v>536</v>
      </c>
      <c r="V2" s="67" t="s">
        <v>201</v>
      </c>
      <c r="W2" s="67" t="s">
        <v>535</v>
      </c>
      <c r="X2" s="67" t="s">
        <v>518</v>
      </c>
      <c r="Y2" s="67" t="s">
        <v>191</v>
      </c>
      <c r="Z2" s="67" t="s">
        <v>190</v>
      </c>
      <c r="AA2" s="67" t="s">
        <v>478</v>
      </c>
      <c r="AB2" s="67" t="s">
        <v>202</v>
      </c>
      <c r="AC2" s="67" t="s">
        <v>512</v>
      </c>
      <c r="AD2" s="67" t="s">
        <v>519</v>
      </c>
    </row>
    <row r="3" spans="1:38" ht="28.8" x14ac:dyDescent="0.3">
      <c r="A3" s="69" t="s">
        <v>187</v>
      </c>
      <c r="B3" s="122"/>
      <c r="C3" s="122"/>
      <c r="D3" s="122"/>
      <c r="E3" s="122"/>
      <c r="F3" s="82" t="s">
        <v>181</v>
      </c>
      <c r="G3" s="122"/>
      <c r="H3" s="122"/>
      <c r="I3" s="122"/>
      <c r="J3" s="122"/>
      <c r="K3" s="122"/>
      <c r="L3" s="122"/>
      <c r="M3" s="122"/>
      <c r="N3" s="82" t="s">
        <v>105</v>
      </c>
      <c r="O3" s="82" t="s">
        <v>542</v>
      </c>
      <c r="P3" s="122"/>
      <c r="Q3" s="122"/>
      <c r="R3" s="122"/>
      <c r="S3" s="122"/>
      <c r="T3" s="122"/>
      <c r="U3" s="122"/>
      <c r="V3" s="123"/>
      <c r="W3" s="123"/>
      <c r="X3" s="123"/>
      <c r="Y3" s="123"/>
      <c r="Z3" s="124"/>
      <c r="AA3" s="123"/>
      <c r="AB3" s="123" t="s">
        <v>543</v>
      </c>
      <c r="AC3" s="123" t="s">
        <v>543</v>
      </c>
      <c r="AD3" s="125"/>
    </row>
    <row r="4" spans="1:38" x14ac:dyDescent="0.3">
      <c r="A4" s="69"/>
      <c r="B4" s="122"/>
      <c r="C4" s="122"/>
      <c r="D4" s="122"/>
      <c r="E4" s="122"/>
      <c r="F4" s="82"/>
      <c r="G4" s="122"/>
      <c r="H4" s="122"/>
      <c r="I4" s="122"/>
      <c r="J4" s="122"/>
      <c r="K4" s="122"/>
      <c r="L4" s="122"/>
      <c r="M4" s="122"/>
      <c r="N4" s="82"/>
      <c r="O4" s="82"/>
      <c r="P4" s="122"/>
      <c r="Q4" s="122"/>
      <c r="R4" s="122"/>
      <c r="S4" s="122"/>
      <c r="T4" s="122"/>
      <c r="U4" s="122"/>
      <c r="V4" s="123"/>
      <c r="W4" s="123"/>
      <c r="X4" s="123"/>
      <c r="Y4" s="123"/>
      <c r="Z4" s="124"/>
      <c r="AA4" s="123"/>
      <c r="AB4" s="123"/>
      <c r="AC4" s="123"/>
      <c r="AD4" s="125"/>
      <c r="AG4" t="s">
        <v>294</v>
      </c>
    </row>
    <row r="5" spans="1:38" x14ac:dyDescent="0.3">
      <c r="A5" s="69"/>
      <c r="B5" s="122"/>
      <c r="C5" s="122"/>
      <c r="D5" s="122"/>
      <c r="E5" s="122"/>
      <c r="F5" s="82"/>
      <c r="G5" s="122"/>
      <c r="H5" s="122"/>
      <c r="I5" s="122"/>
      <c r="J5" s="122"/>
      <c r="K5" s="122"/>
      <c r="L5" s="122"/>
      <c r="M5" s="122"/>
      <c r="N5" s="82"/>
      <c r="O5" s="82"/>
      <c r="P5" s="122"/>
      <c r="Q5" s="122"/>
      <c r="R5" s="122"/>
      <c r="S5" s="122"/>
      <c r="T5" s="122"/>
      <c r="U5" s="122"/>
      <c r="V5" s="123"/>
      <c r="W5" s="123"/>
      <c r="X5" s="123"/>
      <c r="Y5" s="123"/>
      <c r="Z5" s="124"/>
      <c r="AA5" s="123"/>
      <c r="AB5" s="123"/>
      <c r="AC5" s="123"/>
      <c r="AD5" s="125"/>
    </row>
    <row r="6" spans="1:38" x14ac:dyDescent="0.3">
      <c r="A6" s="127"/>
      <c r="B6" s="128"/>
      <c r="C6" s="128"/>
      <c r="D6" s="128"/>
      <c r="E6" s="128"/>
      <c r="F6" s="129"/>
      <c r="G6" s="128"/>
      <c r="H6" s="128"/>
      <c r="I6" s="128"/>
      <c r="J6" s="128"/>
      <c r="K6" s="128"/>
      <c r="L6" s="128"/>
      <c r="M6" s="128"/>
      <c r="N6" s="129"/>
      <c r="O6" s="82"/>
      <c r="P6" s="128"/>
      <c r="Q6" s="128"/>
      <c r="R6" s="128"/>
      <c r="S6" s="128"/>
      <c r="T6" s="128"/>
      <c r="U6" s="128"/>
      <c r="V6" s="123"/>
      <c r="W6" s="123"/>
      <c r="X6" s="123"/>
      <c r="Y6" s="123"/>
      <c r="Z6" s="124"/>
      <c r="AA6" s="123"/>
      <c r="AB6" s="123"/>
      <c r="AC6" s="123"/>
      <c r="AD6" s="125"/>
    </row>
    <row r="7" spans="1:38" x14ac:dyDescent="0.3">
      <c r="A7" s="127"/>
      <c r="B7" s="128"/>
      <c r="C7" s="128"/>
      <c r="D7" s="128"/>
      <c r="E7" s="128"/>
      <c r="F7" s="129"/>
      <c r="G7" s="128"/>
      <c r="H7" s="128"/>
      <c r="I7" s="128"/>
      <c r="J7" s="128"/>
      <c r="K7" s="128"/>
      <c r="L7" s="128"/>
      <c r="M7" s="128"/>
      <c r="N7" s="129"/>
      <c r="O7" s="82"/>
      <c r="P7" s="128"/>
      <c r="Q7" s="128"/>
      <c r="R7" s="128"/>
      <c r="S7" s="128"/>
      <c r="T7" s="128"/>
      <c r="U7" s="128"/>
      <c r="V7" s="123"/>
      <c r="W7" s="123"/>
      <c r="X7" s="123"/>
      <c r="Y7" s="123"/>
      <c r="Z7" s="124"/>
      <c r="AA7" s="123"/>
      <c r="AB7" s="123"/>
      <c r="AC7" s="123"/>
      <c r="AD7" s="125"/>
    </row>
    <row r="8" spans="1:38" x14ac:dyDescent="0.3">
      <c r="A8" s="127"/>
      <c r="B8" s="128"/>
      <c r="C8" s="128"/>
      <c r="D8" s="128"/>
      <c r="E8" s="128"/>
      <c r="F8" s="129"/>
      <c r="G8" s="128"/>
      <c r="H8" s="128"/>
      <c r="I8" s="128"/>
      <c r="J8" s="128"/>
      <c r="K8" s="128"/>
      <c r="L8" s="128"/>
      <c r="M8" s="128"/>
      <c r="N8" s="129"/>
      <c r="O8" s="82"/>
      <c r="P8" s="128"/>
      <c r="Q8" s="128"/>
      <c r="R8" s="128"/>
      <c r="S8" s="128"/>
      <c r="T8" s="128"/>
      <c r="U8" s="128"/>
      <c r="V8" s="123"/>
      <c r="W8" s="123"/>
      <c r="X8" s="123"/>
      <c r="Y8" s="123"/>
      <c r="Z8" s="124"/>
      <c r="AA8" s="123"/>
      <c r="AB8" s="123"/>
      <c r="AC8" s="123"/>
      <c r="AD8" s="125"/>
    </row>
    <row r="9" spans="1:38" x14ac:dyDescent="0.3">
      <c r="A9" s="127"/>
      <c r="B9" s="128"/>
      <c r="C9" s="128"/>
      <c r="D9" s="128"/>
      <c r="E9" s="128"/>
      <c r="F9" s="129"/>
      <c r="G9" s="128"/>
      <c r="H9" s="128"/>
      <c r="I9" s="128"/>
      <c r="J9" s="128"/>
      <c r="K9" s="128"/>
      <c r="L9" s="128"/>
      <c r="M9" s="128"/>
      <c r="N9" s="129"/>
      <c r="O9" s="82"/>
      <c r="P9" s="128"/>
      <c r="Q9" s="128"/>
      <c r="R9" s="128"/>
      <c r="S9" s="128"/>
      <c r="T9" s="128"/>
      <c r="U9" s="128"/>
      <c r="V9" s="123"/>
      <c r="W9" s="123"/>
      <c r="X9" s="123"/>
      <c r="Y9" s="123"/>
      <c r="Z9" s="124"/>
      <c r="AA9" s="123"/>
      <c r="AB9" s="123"/>
      <c r="AC9" s="123"/>
      <c r="AD9" s="125"/>
    </row>
    <row r="10" spans="1:38" x14ac:dyDescent="0.3">
      <c r="A10" s="127"/>
      <c r="B10" s="128"/>
      <c r="C10" s="128"/>
      <c r="D10" s="128"/>
      <c r="E10" s="128"/>
      <c r="F10" s="129"/>
      <c r="G10" s="128"/>
      <c r="H10" s="128"/>
      <c r="I10" s="128"/>
      <c r="J10" s="128"/>
      <c r="K10" s="128"/>
      <c r="L10" s="128"/>
      <c r="M10" s="128"/>
      <c r="N10" s="129"/>
      <c r="O10" s="82"/>
      <c r="P10" s="128"/>
      <c r="Q10" s="128"/>
      <c r="R10" s="128"/>
      <c r="S10" s="128"/>
      <c r="T10" s="128"/>
      <c r="U10" s="128"/>
      <c r="V10" s="123"/>
      <c r="W10" s="123"/>
      <c r="X10" s="123"/>
      <c r="Y10" s="123"/>
      <c r="Z10" s="124"/>
      <c r="AA10" s="123"/>
      <c r="AB10" s="123"/>
      <c r="AC10" s="123"/>
      <c r="AD10" s="125"/>
    </row>
    <row r="11" spans="1:38" x14ac:dyDescent="0.3">
      <c r="A11" s="127"/>
      <c r="B11" s="128"/>
      <c r="C11" s="128"/>
      <c r="D11" s="128"/>
      <c r="E11" s="128"/>
      <c r="F11" s="129"/>
      <c r="G11" s="128"/>
      <c r="H11" s="128"/>
      <c r="I11" s="128"/>
      <c r="J11" s="128"/>
      <c r="K11" s="128"/>
      <c r="L11" s="128"/>
      <c r="M11" s="128"/>
      <c r="N11" s="129"/>
      <c r="O11" s="82"/>
      <c r="P11" s="128"/>
      <c r="Q11" s="128"/>
      <c r="R11" s="128"/>
      <c r="S11" s="128"/>
      <c r="T11" s="128"/>
      <c r="U11" s="128"/>
      <c r="V11" s="123"/>
      <c r="W11" s="123"/>
      <c r="X11" s="123"/>
      <c r="Y11" s="123"/>
      <c r="Z11" s="124"/>
      <c r="AA11" s="123"/>
      <c r="AB11" s="123"/>
      <c r="AC11" s="123"/>
      <c r="AD11" s="125"/>
    </row>
    <row r="12" spans="1:38" x14ac:dyDescent="0.3">
      <c r="A12" s="127"/>
      <c r="B12" s="128"/>
      <c r="C12" s="128"/>
      <c r="D12" s="128"/>
      <c r="E12" s="128"/>
      <c r="F12" s="129"/>
      <c r="G12" s="128"/>
      <c r="H12" s="128"/>
      <c r="I12" s="128"/>
      <c r="J12" s="128"/>
      <c r="K12" s="128"/>
      <c r="L12" s="128"/>
      <c r="M12" s="128"/>
      <c r="N12" s="129"/>
      <c r="O12" s="82"/>
      <c r="P12" s="128"/>
      <c r="Q12" s="128"/>
      <c r="R12" s="128"/>
      <c r="S12" s="128"/>
      <c r="T12" s="128"/>
      <c r="U12" s="128"/>
      <c r="V12" s="123"/>
      <c r="W12" s="123"/>
      <c r="X12" s="123"/>
      <c r="Y12" s="123"/>
      <c r="Z12" s="124"/>
      <c r="AA12" s="123"/>
      <c r="AB12" s="123"/>
      <c r="AC12" s="123"/>
      <c r="AD12" s="125"/>
    </row>
    <row r="13" spans="1:38" x14ac:dyDescent="0.3">
      <c r="A13" s="127"/>
      <c r="B13" s="128"/>
      <c r="C13" s="128"/>
      <c r="D13" s="128"/>
      <c r="E13" s="128"/>
      <c r="F13" s="129"/>
      <c r="G13" s="128"/>
      <c r="H13" s="128"/>
      <c r="I13" s="128"/>
      <c r="J13" s="128"/>
      <c r="K13" s="128"/>
      <c r="L13" s="128"/>
      <c r="M13" s="128"/>
      <c r="N13" s="129"/>
      <c r="O13" s="82"/>
      <c r="P13" s="128"/>
      <c r="Q13" s="128"/>
      <c r="R13" s="128"/>
      <c r="S13" s="128"/>
      <c r="T13" s="128"/>
      <c r="U13" s="128"/>
      <c r="V13" s="123"/>
      <c r="W13" s="123"/>
      <c r="X13" s="123"/>
      <c r="Y13" s="123"/>
      <c r="Z13" s="124"/>
      <c r="AA13" s="123"/>
      <c r="AB13" s="123"/>
      <c r="AC13" s="123"/>
      <c r="AD13" s="125"/>
    </row>
    <row r="14" spans="1:38" x14ac:dyDescent="0.3">
      <c r="A14" s="127"/>
      <c r="B14" s="128"/>
      <c r="C14" s="128"/>
      <c r="D14" s="128"/>
      <c r="E14" s="128"/>
      <c r="F14" s="129"/>
      <c r="G14" s="128"/>
      <c r="H14" s="128"/>
      <c r="I14" s="128"/>
      <c r="J14" s="128"/>
      <c r="K14" s="128"/>
      <c r="L14" s="128"/>
      <c r="M14" s="128"/>
      <c r="N14" s="129"/>
      <c r="O14" s="82"/>
      <c r="P14" s="128"/>
      <c r="Q14" s="128"/>
      <c r="R14" s="128"/>
      <c r="S14" s="128"/>
      <c r="T14" s="128"/>
      <c r="U14" s="128"/>
      <c r="V14" s="123"/>
      <c r="W14" s="123"/>
      <c r="X14" s="123"/>
      <c r="Y14" s="123"/>
      <c r="Z14" s="124"/>
      <c r="AA14" s="123"/>
      <c r="AB14" s="123"/>
      <c r="AC14" s="123"/>
      <c r="AD14" s="125"/>
    </row>
    <row r="15" spans="1:38" x14ac:dyDescent="0.3">
      <c r="A15" s="127"/>
      <c r="B15" s="128"/>
      <c r="C15" s="128"/>
      <c r="D15" s="128"/>
      <c r="E15" s="128"/>
      <c r="F15" s="129"/>
      <c r="G15" s="128"/>
      <c r="H15" s="128"/>
      <c r="I15" s="128"/>
      <c r="J15" s="128"/>
      <c r="K15" s="128"/>
      <c r="L15" s="128"/>
      <c r="M15" s="128"/>
      <c r="N15" s="129"/>
      <c r="O15" s="82"/>
      <c r="P15" s="128"/>
      <c r="Q15" s="128"/>
      <c r="R15" s="128"/>
      <c r="S15" s="128"/>
      <c r="T15" s="128"/>
      <c r="U15" s="128"/>
      <c r="V15" s="123"/>
      <c r="W15" s="123"/>
      <c r="X15" s="123"/>
      <c r="Y15" s="123"/>
      <c r="Z15" s="124"/>
      <c r="AA15" s="123"/>
      <c r="AB15" s="123"/>
      <c r="AC15" s="123"/>
      <c r="AD15" s="125"/>
    </row>
    <row r="16" spans="1:38" x14ac:dyDescent="0.3">
      <c r="A16" s="127"/>
      <c r="B16" s="128"/>
      <c r="C16" s="128"/>
      <c r="D16" s="128"/>
      <c r="E16" s="128"/>
      <c r="F16" s="129"/>
      <c r="G16" s="128"/>
      <c r="H16" s="128"/>
      <c r="I16" s="128"/>
      <c r="J16" s="128"/>
      <c r="K16" s="128"/>
      <c r="L16" s="128"/>
      <c r="M16" s="128"/>
      <c r="N16" s="129"/>
      <c r="O16" s="82"/>
      <c r="P16" s="128"/>
      <c r="Q16" s="128"/>
      <c r="R16" s="128"/>
      <c r="S16" s="128"/>
      <c r="T16" s="128"/>
      <c r="U16" s="128"/>
      <c r="V16" s="123"/>
      <c r="W16" s="123"/>
      <c r="X16" s="123"/>
      <c r="Y16" s="123"/>
      <c r="Z16" s="124"/>
      <c r="AA16" s="123"/>
      <c r="AB16" s="123"/>
      <c r="AC16" s="123"/>
      <c r="AD16" s="125"/>
    </row>
    <row r="17" spans="1:30" x14ac:dyDescent="0.3">
      <c r="A17" s="127"/>
      <c r="B17" s="128"/>
      <c r="C17" s="128"/>
      <c r="D17" s="128"/>
      <c r="E17" s="128"/>
      <c r="F17" s="129"/>
      <c r="G17" s="128"/>
      <c r="H17" s="128"/>
      <c r="I17" s="128"/>
      <c r="J17" s="128"/>
      <c r="K17" s="128"/>
      <c r="L17" s="128"/>
      <c r="M17" s="128"/>
      <c r="N17" s="129"/>
      <c r="O17" s="82"/>
      <c r="P17" s="128"/>
      <c r="Q17" s="128"/>
      <c r="R17" s="128"/>
      <c r="S17" s="128"/>
      <c r="T17" s="128"/>
      <c r="U17" s="128"/>
      <c r="V17" s="123"/>
      <c r="W17" s="123"/>
      <c r="X17" s="123"/>
      <c r="Y17" s="123"/>
      <c r="Z17" s="124"/>
      <c r="AA17" s="123"/>
      <c r="AB17" s="123"/>
      <c r="AC17" s="123"/>
      <c r="AD17" s="125"/>
    </row>
    <row r="18" spans="1:30" x14ac:dyDescent="0.3">
      <c r="A18" s="127"/>
      <c r="B18" s="128"/>
      <c r="C18" s="128"/>
      <c r="D18" s="128"/>
      <c r="E18" s="128"/>
      <c r="F18" s="129"/>
      <c r="G18" s="128"/>
      <c r="H18" s="128"/>
      <c r="I18" s="128"/>
      <c r="J18" s="128"/>
      <c r="K18" s="128"/>
      <c r="L18" s="128"/>
      <c r="M18" s="128"/>
      <c r="N18" s="129"/>
      <c r="O18" s="82"/>
      <c r="P18" s="128"/>
      <c r="Q18" s="128"/>
      <c r="R18" s="128"/>
      <c r="S18" s="128"/>
      <c r="T18" s="128"/>
      <c r="U18" s="128"/>
      <c r="V18" s="123"/>
      <c r="W18" s="123"/>
      <c r="X18" s="123"/>
      <c r="Y18" s="123"/>
      <c r="Z18" s="124"/>
      <c r="AA18" s="123"/>
      <c r="AB18" s="123"/>
      <c r="AC18" s="123"/>
      <c r="AD18" s="125"/>
    </row>
    <row r="19" spans="1:30" x14ac:dyDescent="0.3">
      <c r="A19" s="127"/>
      <c r="B19" s="128"/>
      <c r="C19" s="128"/>
      <c r="D19" s="128"/>
      <c r="E19" s="128"/>
      <c r="F19" s="129"/>
      <c r="G19" s="128"/>
      <c r="H19" s="128"/>
      <c r="I19" s="128"/>
      <c r="J19" s="128"/>
      <c r="K19" s="128"/>
      <c r="L19" s="128"/>
      <c r="M19" s="128"/>
      <c r="N19" s="129"/>
      <c r="O19" s="82"/>
      <c r="P19" s="128"/>
      <c r="Q19" s="128"/>
      <c r="R19" s="128"/>
      <c r="S19" s="128"/>
      <c r="T19" s="128"/>
      <c r="U19" s="128"/>
      <c r="V19" s="123"/>
      <c r="W19" s="123"/>
      <c r="X19" s="123"/>
      <c r="Y19" s="123"/>
      <c r="Z19" s="124"/>
      <c r="AA19" s="123"/>
      <c r="AB19" s="123"/>
      <c r="AC19" s="123"/>
      <c r="AD19" s="125"/>
    </row>
    <row r="20" spans="1:30" x14ac:dyDescent="0.3">
      <c r="A20" s="127"/>
      <c r="B20" s="128"/>
      <c r="C20" s="128"/>
      <c r="D20" s="128"/>
      <c r="E20" s="128"/>
      <c r="F20" s="129"/>
      <c r="G20" s="128"/>
      <c r="H20" s="128"/>
      <c r="I20" s="128"/>
      <c r="J20" s="128"/>
      <c r="K20" s="128"/>
      <c r="L20" s="128"/>
      <c r="M20" s="128"/>
      <c r="N20" s="129"/>
      <c r="O20" s="82"/>
      <c r="P20" s="128"/>
      <c r="Q20" s="128"/>
      <c r="R20" s="128"/>
      <c r="S20" s="128"/>
      <c r="T20" s="128"/>
      <c r="U20" s="128"/>
      <c r="V20" s="123"/>
      <c r="W20" s="123"/>
      <c r="X20" s="123"/>
      <c r="Y20" s="123"/>
      <c r="Z20" s="124"/>
      <c r="AA20" s="123"/>
      <c r="AB20" s="123"/>
      <c r="AC20" s="123"/>
      <c r="AD20" s="125"/>
    </row>
    <row r="21" spans="1:30" x14ac:dyDescent="0.3">
      <c r="A21" s="127"/>
      <c r="B21" s="128"/>
      <c r="C21" s="128"/>
      <c r="D21" s="128"/>
      <c r="E21" s="128"/>
      <c r="F21" s="129"/>
      <c r="G21" s="128"/>
      <c r="H21" s="128"/>
      <c r="I21" s="128"/>
      <c r="J21" s="128"/>
      <c r="K21" s="128"/>
      <c r="L21" s="128"/>
      <c r="M21" s="128"/>
      <c r="N21" s="129"/>
      <c r="O21" s="82"/>
      <c r="P21" s="128"/>
      <c r="Q21" s="128"/>
      <c r="R21" s="128"/>
      <c r="S21" s="128"/>
      <c r="T21" s="128"/>
      <c r="U21" s="128"/>
      <c r="V21" s="123"/>
      <c r="W21" s="123"/>
      <c r="X21" s="123"/>
      <c r="Y21" s="123"/>
      <c r="Z21" s="124"/>
      <c r="AA21" s="123"/>
      <c r="AB21" s="123"/>
      <c r="AC21" s="123"/>
      <c r="AD21" s="125"/>
    </row>
    <row r="22" spans="1:30" x14ac:dyDescent="0.3">
      <c r="A22" s="127"/>
      <c r="B22" s="128"/>
      <c r="C22" s="128"/>
      <c r="D22" s="128"/>
      <c r="E22" s="128"/>
      <c r="F22" s="129"/>
      <c r="G22" s="128"/>
      <c r="H22" s="128"/>
      <c r="I22" s="128"/>
      <c r="J22" s="128"/>
      <c r="K22" s="128"/>
      <c r="L22" s="128"/>
      <c r="M22" s="128"/>
      <c r="N22" s="129"/>
      <c r="O22" s="82"/>
      <c r="P22" s="128"/>
      <c r="Q22" s="128"/>
      <c r="R22" s="128"/>
      <c r="S22" s="128"/>
      <c r="T22" s="128"/>
      <c r="U22" s="128"/>
      <c r="V22" s="123"/>
      <c r="W22" s="123"/>
      <c r="X22" s="123"/>
      <c r="Y22" s="123"/>
      <c r="Z22" s="124"/>
      <c r="AA22" s="123"/>
      <c r="AB22" s="123"/>
      <c r="AC22" s="123"/>
      <c r="AD22" s="125"/>
    </row>
    <row r="23" spans="1:30" x14ac:dyDescent="0.3">
      <c r="A23" s="127"/>
      <c r="B23" s="128"/>
      <c r="C23" s="128"/>
      <c r="D23" s="128"/>
      <c r="E23" s="128"/>
      <c r="F23" s="129"/>
      <c r="G23" s="128"/>
      <c r="H23" s="128"/>
      <c r="I23" s="128"/>
      <c r="J23" s="128"/>
      <c r="K23" s="128"/>
      <c r="L23" s="128"/>
      <c r="M23" s="128"/>
      <c r="N23" s="129"/>
      <c r="O23" s="82"/>
      <c r="P23" s="128"/>
      <c r="Q23" s="128"/>
      <c r="R23" s="128"/>
      <c r="S23" s="128"/>
      <c r="T23" s="128"/>
      <c r="U23" s="128"/>
      <c r="V23" s="123"/>
      <c r="W23" s="123"/>
      <c r="X23" s="123"/>
      <c r="Y23" s="123"/>
      <c r="Z23" s="124"/>
      <c r="AA23" s="123"/>
      <c r="AB23" s="123"/>
      <c r="AC23" s="123"/>
      <c r="AD23" s="125"/>
    </row>
    <row r="24" spans="1:30" x14ac:dyDescent="0.3">
      <c r="A24" s="127"/>
      <c r="B24" s="128"/>
      <c r="C24" s="128"/>
      <c r="D24" s="128"/>
      <c r="E24" s="128"/>
      <c r="F24" s="129"/>
      <c r="G24" s="128"/>
      <c r="H24" s="128"/>
      <c r="I24" s="128"/>
      <c r="J24" s="128"/>
      <c r="K24" s="128"/>
      <c r="L24" s="128"/>
      <c r="M24" s="128"/>
      <c r="N24" s="129"/>
      <c r="O24" s="82"/>
      <c r="P24" s="128"/>
      <c r="Q24" s="128"/>
      <c r="R24" s="128"/>
      <c r="S24" s="128"/>
      <c r="T24" s="128"/>
      <c r="U24" s="128"/>
      <c r="V24" s="123"/>
      <c r="W24" s="123"/>
      <c r="X24" s="123"/>
      <c r="Y24" s="123"/>
      <c r="Z24" s="124"/>
      <c r="AA24" s="123"/>
      <c r="AB24" s="123"/>
      <c r="AC24" s="123"/>
      <c r="AD24" s="125"/>
    </row>
    <row r="25" spans="1:30" x14ac:dyDescent="0.3">
      <c r="A25" s="127"/>
      <c r="B25" s="128"/>
      <c r="C25" s="128"/>
      <c r="D25" s="128"/>
      <c r="E25" s="128"/>
      <c r="F25" s="129"/>
      <c r="G25" s="128"/>
      <c r="H25" s="128"/>
      <c r="I25" s="128"/>
      <c r="J25" s="128"/>
      <c r="K25" s="128"/>
      <c r="L25" s="128"/>
      <c r="M25" s="128"/>
      <c r="N25" s="129"/>
      <c r="O25" s="82"/>
      <c r="P25" s="128"/>
      <c r="Q25" s="128"/>
      <c r="R25" s="128"/>
      <c r="S25" s="128"/>
      <c r="T25" s="128"/>
      <c r="U25" s="128"/>
      <c r="V25" s="123"/>
      <c r="W25" s="123"/>
      <c r="X25" s="123"/>
      <c r="Y25" s="123"/>
      <c r="Z25" s="124"/>
      <c r="AA25" s="123"/>
      <c r="AB25" s="123"/>
      <c r="AC25" s="123"/>
      <c r="AD25" s="125"/>
    </row>
    <row r="26" spans="1:30" x14ac:dyDescent="0.3">
      <c r="A26" s="127"/>
      <c r="B26" s="128"/>
      <c r="C26" s="128"/>
      <c r="D26" s="128"/>
      <c r="E26" s="128"/>
      <c r="F26" s="129"/>
      <c r="G26" s="128"/>
      <c r="H26" s="128"/>
      <c r="I26" s="128"/>
      <c r="J26" s="128"/>
      <c r="K26" s="128"/>
      <c r="L26" s="128"/>
      <c r="M26" s="128"/>
      <c r="N26" s="129"/>
      <c r="O26" s="82"/>
      <c r="P26" s="128"/>
      <c r="Q26" s="128"/>
      <c r="R26" s="128"/>
      <c r="S26" s="128"/>
      <c r="T26" s="128"/>
      <c r="U26" s="128"/>
      <c r="V26" s="123"/>
      <c r="W26" s="123"/>
      <c r="X26" s="123"/>
      <c r="Y26" s="123"/>
      <c r="Z26" s="124"/>
      <c r="AA26" s="123"/>
      <c r="AB26" s="123"/>
      <c r="AC26" s="123"/>
      <c r="AD26" s="125"/>
    </row>
    <row r="27" spans="1:30" x14ac:dyDescent="0.3">
      <c r="A27" s="127"/>
      <c r="B27" s="128"/>
      <c r="C27" s="128"/>
      <c r="D27" s="128"/>
      <c r="E27" s="128"/>
      <c r="F27" s="129"/>
      <c r="G27" s="128"/>
      <c r="H27" s="128"/>
      <c r="I27" s="128"/>
      <c r="J27" s="128"/>
      <c r="K27" s="128"/>
      <c r="L27" s="128"/>
      <c r="M27" s="128"/>
      <c r="N27" s="129"/>
      <c r="O27" s="82"/>
      <c r="P27" s="128"/>
      <c r="Q27" s="128"/>
      <c r="R27" s="128"/>
      <c r="S27" s="128"/>
      <c r="T27" s="128"/>
      <c r="U27" s="128"/>
      <c r="V27" s="123"/>
      <c r="W27" s="123"/>
      <c r="X27" s="123"/>
      <c r="Y27" s="123"/>
      <c r="Z27" s="124"/>
      <c r="AA27" s="123"/>
      <c r="AB27" s="123"/>
      <c r="AC27" s="123"/>
      <c r="AD27" s="125"/>
    </row>
    <row r="28" spans="1:30" x14ac:dyDescent="0.3">
      <c r="A28" s="127"/>
      <c r="B28" s="128"/>
      <c r="C28" s="128"/>
      <c r="D28" s="128"/>
      <c r="E28" s="128"/>
      <c r="F28" s="129"/>
      <c r="G28" s="128"/>
      <c r="H28" s="128"/>
      <c r="I28" s="128"/>
      <c r="J28" s="128"/>
      <c r="K28" s="128"/>
      <c r="L28" s="128"/>
      <c r="M28" s="128"/>
      <c r="N28" s="129"/>
      <c r="O28" s="82"/>
      <c r="P28" s="128"/>
      <c r="Q28" s="128"/>
      <c r="R28" s="128"/>
      <c r="S28" s="128"/>
      <c r="T28" s="128"/>
      <c r="U28" s="128"/>
      <c r="V28" s="123"/>
      <c r="W28" s="123"/>
      <c r="X28" s="123"/>
      <c r="Y28" s="123"/>
      <c r="Z28" s="124"/>
      <c r="AA28" s="123"/>
      <c r="AB28" s="123"/>
      <c r="AC28" s="123"/>
      <c r="AD28" s="125"/>
    </row>
    <row r="29" spans="1:30" x14ac:dyDescent="0.3">
      <c r="A29" s="127"/>
      <c r="B29" s="128"/>
      <c r="C29" s="128"/>
      <c r="D29" s="128"/>
      <c r="E29" s="128"/>
      <c r="F29" s="129"/>
      <c r="G29" s="128"/>
      <c r="H29" s="128"/>
      <c r="I29" s="128"/>
      <c r="J29" s="128"/>
      <c r="K29" s="128"/>
      <c r="L29" s="128"/>
      <c r="M29" s="128"/>
      <c r="N29" s="129"/>
      <c r="O29" s="82"/>
      <c r="P29" s="128"/>
      <c r="Q29" s="128"/>
      <c r="R29" s="128"/>
      <c r="S29" s="128"/>
      <c r="T29" s="128"/>
      <c r="U29" s="128"/>
      <c r="V29" s="123"/>
      <c r="W29" s="123"/>
      <c r="X29" s="123"/>
      <c r="Y29" s="123"/>
      <c r="Z29" s="124"/>
      <c r="AA29" s="123"/>
      <c r="AB29" s="123"/>
      <c r="AC29" s="123"/>
      <c r="AD29" s="125"/>
    </row>
    <row r="30" spans="1:30" x14ac:dyDescent="0.3">
      <c r="A30" s="127"/>
      <c r="B30" s="128"/>
      <c r="C30" s="128"/>
      <c r="D30" s="128"/>
      <c r="E30" s="128"/>
      <c r="F30" s="129"/>
      <c r="G30" s="128"/>
      <c r="H30" s="128"/>
      <c r="I30" s="128"/>
      <c r="J30" s="128"/>
      <c r="K30" s="128"/>
      <c r="L30" s="128"/>
      <c r="M30" s="128"/>
      <c r="N30" s="129"/>
      <c r="O30" s="82"/>
      <c r="P30" s="128"/>
      <c r="Q30" s="128"/>
      <c r="R30" s="128"/>
      <c r="S30" s="128"/>
      <c r="T30" s="128"/>
      <c r="U30" s="128"/>
      <c r="V30" s="123"/>
      <c r="W30" s="123"/>
      <c r="X30" s="123"/>
      <c r="Y30" s="123"/>
      <c r="Z30" s="124"/>
      <c r="AA30" s="123"/>
      <c r="AB30" s="123"/>
      <c r="AC30" s="123"/>
      <c r="AD30" s="125"/>
    </row>
    <row r="31" spans="1:30" x14ac:dyDescent="0.3">
      <c r="A31" s="127"/>
      <c r="B31" s="128"/>
      <c r="C31" s="128"/>
      <c r="D31" s="128"/>
      <c r="E31" s="128"/>
      <c r="F31" s="129"/>
      <c r="G31" s="128"/>
      <c r="H31" s="128"/>
      <c r="I31" s="128"/>
      <c r="J31" s="128"/>
      <c r="K31" s="128"/>
      <c r="L31" s="128"/>
      <c r="M31" s="128"/>
      <c r="N31" s="129"/>
      <c r="O31" s="82"/>
      <c r="P31" s="128"/>
      <c r="Q31" s="128"/>
      <c r="R31" s="128"/>
      <c r="S31" s="128"/>
      <c r="T31" s="128"/>
      <c r="U31" s="128"/>
      <c r="V31" s="123"/>
      <c r="W31" s="123"/>
      <c r="X31" s="123"/>
      <c r="Y31" s="123"/>
      <c r="Z31" s="124"/>
      <c r="AA31" s="123"/>
      <c r="AB31" s="123"/>
      <c r="AC31" s="123"/>
      <c r="AD31" s="125"/>
    </row>
    <row r="32" spans="1:30" x14ac:dyDescent="0.3">
      <c r="A32" s="127"/>
      <c r="B32" s="128"/>
      <c r="C32" s="128"/>
      <c r="D32" s="128"/>
      <c r="E32" s="128"/>
      <c r="F32" s="129"/>
      <c r="G32" s="128"/>
      <c r="H32" s="128"/>
      <c r="I32" s="128"/>
      <c r="J32" s="128"/>
      <c r="K32" s="128"/>
      <c r="L32" s="128"/>
      <c r="M32" s="128"/>
      <c r="N32" s="129"/>
      <c r="O32" s="82"/>
      <c r="P32" s="128"/>
      <c r="Q32" s="128"/>
      <c r="R32" s="128"/>
      <c r="S32" s="128"/>
      <c r="T32" s="128"/>
      <c r="U32" s="128"/>
      <c r="V32" s="123"/>
      <c r="W32" s="123"/>
      <c r="X32" s="123"/>
      <c r="Y32" s="123"/>
      <c r="Z32" s="124"/>
      <c r="AA32" s="123"/>
      <c r="AB32" s="123"/>
      <c r="AC32" s="123"/>
      <c r="AD32" s="125"/>
    </row>
    <row r="33" spans="1:30" x14ac:dyDescent="0.3">
      <c r="A33" s="127"/>
      <c r="B33" s="128"/>
      <c r="C33" s="128"/>
      <c r="D33" s="128"/>
      <c r="E33" s="128"/>
      <c r="F33" s="129"/>
      <c r="G33" s="128"/>
      <c r="H33" s="128"/>
      <c r="I33" s="128"/>
      <c r="J33" s="128"/>
      <c r="K33" s="128"/>
      <c r="L33" s="128"/>
      <c r="M33" s="128"/>
      <c r="N33" s="129"/>
      <c r="O33" s="82"/>
      <c r="P33" s="128"/>
      <c r="Q33" s="128"/>
      <c r="R33" s="128"/>
      <c r="S33" s="128"/>
      <c r="T33" s="128"/>
      <c r="U33" s="128"/>
      <c r="V33" s="123"/>
      <c r="W33" s="123"/>
      <c r="X33" s="123"/>
      <c r="Y33" s="123"/>
      <c r="Z33" s="124"/>
      <c r="AA33" s="123"/>
      <c r="AB33" s="123"/>
      <c r="AC33" s="123"/>
      <c r="AD33" s="125"/>
    </row>
    <row r="34" spans="1:30" x14ac:dyDescent="0.3">
      <c r="A34" s="127"/>
      <c r="B34" s="128"/>
      <c r="C34" s="128"/>
      <c r="D34" s="128"/>
      <c r="E34" s="128"/>
      <c r="F34" s="129"/>
      <c r="G34" s="128"/>
      <c r="H34" s="128"/>
      <c r="I34" s="128"/>
      <c r="J34" s="128"/>
      <c r="K34" s="128"/>
      <c r="L34" s="128"/>
      <c r="M34" s="128"/>
      <c r="N34" s="129"/>
      <c r="O34" s="82"/>
      <c r="P34" s="128"/>
      <c r="Q34" s="128"/>
      <c r="R34" s="128"/>
      <c r="S34" s="128"/>
      <c r="T34" s="128"/>
      <c r="U34" s="128"/>
      <c r="V34" s="123"/>
      <c r="W34" s="123"/>
      <c r="X34" s="123"/>
      <c r="Y34" s="123"/>
      <c r="Z34" s="124"/>
      <c r="AA34" s="123"/>
      <c r="AB34" s="123"/>
      <c r="AC34" s="123"/>
      <c r="AD34" s="125"/>
    </row>
    <row r="35" spans="1:30" x14ac:dyDescent="0.3">
      <c r="A35" s="127"/>
      <c r="B35" s="128"/>
      <c r="C35" s="128"/>
      <c r="D35" s="128"/>
      <c r="E35" s="128"/>
      <c r="F35" s="129"/>
      <c r="G35" s="128"/>
      <c r="H35" s="128"/>
      <c r="I35" s="128"/>
      <c r="J35" s="128"/>
      <c r="K35" s="128"/>
      <c r="L35" s="128"/>
      <c r="M35" s="128"/>
      <c r="N35" s="129"/>
      <c r="O35" s="82"/>
      <c r="P35" s="128"/>
      <c r="Q35" s="128"/>
      <c r="R35" s="128"/>
      <c r="S35" s="128"/>
      <c r="T35" s="128"/>
      <c r="U35" s="128"/>
      <c r="V35" s="123"/>
      <c r="W35" s="123"/>
      <c r="X35" s="123"/>
      <c r="Y35" s="123"/>
      <c r="Z35" s="124"/>
      <c r="AA35" s="123"/>
      <c r="AB35" s="123"/>
      <c r="AC35" s="123"/>
      <c r="AD35" s="125"/>
    </row>
    <row r="36" spans="1:30" x14ac:dyDescent="0.3">
      <c r="A36" s="127"/>
      <c r="B36" s="128"/>
      <c r="C36" s="128"/>
      <c r="D36" s="128"/>
      <c r="E36" s="128"/>
      <c r="F36" s="129"/>
      <c r="G36" s="128"/>
      <c r="H36" s="128"/>
      <c r="I36" s="128"/>
      <c r="J36" s="128"/>
      <c r="K36" s="128"/>
      <c r="L36" s="128"/>
      <c r="M36" s="128"/>
      <c r="N36" s="129"/>
      <c r="O36" s="82"/>
      <c r="P36" s="128"/>
      <c r="Q36" s="128"/>
      <c r="R36" s="128"/>
      <c r="S36" s="128"/>
      <c r="T36" s="128"/>
      <c r="U36" s="128"/>
      <c r="V36" s="123"/>
      <c r="W36" s="123"/>
      <c r="X36" s="123"/>
      <c r="Y36" s="123"/>
      <c r="Z36" s="124"/>
      <c r="AA36" s="123"/>
      <c r="AB36" s="123"/>
      <c r="AC36" s="123"/>
      <c r="AD36" s="125"/>
    </row>
    <row r="37" spans="1:30" x14ac:dyDescent="0.3">
      <c r="A37" s="127"/>
      <c r="B37" s="128"/>
      <c r="C37" s="128"/>
      <c r="D37" s="128"/>
      <c r="E37" s="128"/>
      <c r="F37" s="129"/>
      <c r="G37" s="128"/>
      <c r="H37" s="128"/>
      <c r="I37" s="128"/>
      <c r="J37" s="128"/>
      <c r="K37" s="128"/>
      <c r="L37" s="128"/>
      <c r="M37" s="128"/>
      <c r="N37" s="129"/>
      <c r="O37" s="82"/>
      <c r="P37" s="128"/>
      <c r="Q37" s="128"/>
      <c r="R37" s="128"/>
      <c r="S37" s="128"/>
      <c r="T37" s="128"/>
      <c r="U37" s="128"/>
      <c r="V37" s="123"/>
      <c r="W37" s="123"/>
      <c r="X37" s="123"/>
      <c r="Y37" s="123"/>
      <c r="Z37" s="124"/>
      <c r="AA37" s="123"/>
      <c r="AB37" s="123"/>
      <c r="AC37" s="123"/>
      <c r="AD37" s="125"/>
    </row>
    <row r="38" spans="1:30" x14ac:dyDescent="0.3">
      <c r="A38" s="127"/>
      <c r="B38" s="128"/>
      <c r="C38" s="128"/>
      <c r="D38" s="128"/>
      <c r="E38" s="128"/>
      <c r="F38" s="129"/>
      <c r="G38" s="128"/>
      <c r="H38" s="128"/>
      <c r="I38" s="128"/>
      <c r="J38" s="128"/>
      <c r="K38" s="128"/>
      <c r="L38" s="128"/>
      <c r="M38" s="128"/>
      <c r="N38" s="129"/>
      <c r="O38" s="82"/>
      <c r="P38" s="128"/>
      <c r="Q38" s="128"/>
      <c r="R38" s="128"/>
      <c r="S38" s="128"/>
      <c r="T38" s="128"/>
      <c r="U38" s="128"/>
      <c r="V38" s="123"/>
      <c r="W38" s="123"/>
      <c r="X38" s="123"/>
      <c r="Y38" s="123"/>
      <c r="Z38" s="124"/>
      <c r="AA38" s="123"/>
      <c r="AB38" s="123"/>
      <c r="AC38" s="123"/>
      <c r="AD38" s="125"/>
    </row>
    <row r="39" spans="1:30" x14ac:dyDescent="0.3">
      <c r="A39" s="127"/>
      <c r="B39" s="128"/>
      <c r="C39" s="128"/>
      <c r="D39" s="128"/>
      <c r="E39" s="128"/>
      <c r="F39" s="129"/>
      <c r="G39" s="128"/>
      <c r="H39" s="128"/>
      <c r="I39" s="128"/>
      <c r="J39" s="128"/>
      <c r="K39" s="128"/>
      <c r="L39" s="128"/>
      <c r="M39" s="128"/>
      <c r="N39" s="129"/>
      <c r="O39" s="82"/>
      <c r="P39" s="128"/>
      <c r="Q39" s="128"/>
      <c r="R39" s="128"/>
      <c r="S39" s="128"/>
      <c r="T39" s="128"/>
      <c r="U39" s="128"/>
      <c r="V39" s="123"/>
      <c r="W39" s="123"/>
      <c r="X39" s="123"/>
      <c r="Y39" s="123"/>
      <c r="Z39" s="124"/>
      <c r="AA39" s="123"/>
      <c r="AB39" s="123"/>
      <c r="AC39" s="123"/>
      <c r="AD39" s="125"/>
    </row>
    <row r="40" spans="1:30" x14ac:dyDescent="0.3">
      <c r="A40" s="127"/>
      <c r="B40" s="128"/>
      <c r="C40" s="128"/>
      <c r="D40" s="128"/>
      <c r="E40" s="128"/>
      <c r="F40" s="129"/>
      <c r="G40" s="128"/>
      <c r="H40" s="128"/>
      <c r="I40" s="128"/>
      <c r="J40" s="128"/>
      <c r="K40" s="128"/>
      <c r="L40" s="128"/>
      <c r="M40" s="128"/>
      <c r="N40" s="129"/>
      <c r="O40" s="82"/>
      <c r="P40" s="128"/>
      <c r="Q40" s="128"/>
      <c r="R40" s="128"/>
      <c r="S40" s="128"/>
      <c r="T40" s="128"/>
      <c r="U40" s="128"/>
      <c r="V40" s="123"/>
      <c r="W40" s="123"/>
      <c r="X40" s="123"/>
      <c r="Y40" s="123"/>
      <c r="Z40" s="124"/>
      <c r="AA40" s="123"/>
      <c r="AB40" s="123"/>
      <c r="AC40" s="123"/>
      <c r="AD40" s="125"/>
    </row>
    <row r="41" spans="1:30" x14ac:dyDescent="0.3">
      <c r="A41" s="127"/>
      <c r="B41" s="128"/>
      <c r="C41" s="128"/>
      <c r="D41" s="128"/>
      <c r="E41" s="128"/>
      <c r="F41" s="129"/>
      <c r="G41" s="128"/>
      <c r="H41" s="128"/>
      <c r="I41" s="128"/>
      <c r="J41" s="128"/>
      <c r="K41" s="128"/>
      <c r="L41" s="128"/>
      <c r="M41" s="128"/>
      <c r="N41" s="129"/>
      <c r="O41" s="82"/>
      <c r="P41" s="128"/>
      <c r="Q41" s="128"/>
      <c r="R41" s="128"/>
      <c r="S41" s="128"/>
      <c r="T41" s="128"/>
      <c r="U41" s="128"/>
      <c r="V41" s="123"/>
      <c r="W41" s="123"/>
      <c r="X41" s="123"/>
      <c r="Y41" s="123"/>
      <c r="Z41" s="124"/>
      <c r="AA41" s="123"/>
      <c r="AB41" s="123"/>
      <c r="AC41" s="123"/>
      <c r="AD41" s="125"/>
    </row>
    <row r="42" spans="1:30" x14ac:dyDescent="0.3">
      <c r="A42" s="127"/>
      <c r="B42" s="128"/>
      <c r="C42" s="128"/>
      <c r="D42" s="128"/>
      <c r="E42" s="128"/>
      <c r="F42" s="129"/>
      <c r="G42" s="128"/>
      <c r="H42" s="128"/>
      <c r="I42" s="128"/>
      <c r="J42" s="128"/>
      <c r="K42" s="128"/>
      <c r="L42" s="128"/>
      <c r="M42" s="128"/>
      <c r="N42" s="129"/>
      <c r="O42" s="82"/>
      <c r="P42" s="128"/>
      <c r="Q42" s="128"/>
      <c r="R42" s="128"/>
      <c r="S42" s="128"/>
      <c r="T42" s="128"/>
      <c r="U42" s="128"/>
      <c r="V42" s="123"/>
      <c r="W42" s="123"/>
      <c r="X42" s="123"/>
      <c r="Y42" s="123"/>
      <c r="Z42" s="124"/>
      <c r="AA42" s="123"/>
      <c r="AB42" s="123"/>
      <c r="AC42" s="123"/>
      <c r="AD42" s="125"/>
    </row>
    <row r="43" spans="1:30" x14ac:dyDescent="0.3">
      <c r="A43" s="127"/>
      <c r="B43" s="128"/>
      <c r="C43" s="128"/>
      <c r="D43" s="128"/>
      <c r="E43" s="128"/>
      <c r="F43" s="129"/>
      <c r="G43" s="128"/>
      <c r="H43" s="128"/>
      <c r="I43" s="128"/>
      <c r="J43" s="128"/>
      <c r="K43" s="128"/>
      <c r="L43" s="128"/>
      <c r="M43" s="128"/>
      <c r="N43" s="129"/>
      <c r="O43" s="82"/>
      <c r="P43" s="128"/>
      <c r="Q43" s="128"/>
      <c r="R43" s="128"/>
      <c r="S43" s="128"/>
      <c r="T43" s="128"/>
      <c r="U43" s="128"/>
      <c r="V43" s="123"/>
      <c r="W43" s="123"/>
      <c r="X43" s="123"/>
      <c r="Y43" s="123"/>
      <c r="Z43" s="124"/>
      <c r="AA43" s="123"/>
      <c r="AB43" s="123"/>
      <c r="AC43" s="123"/>
      <c r="AD43" s="125"/>
    </row>
    <row r="44" spans="1:30" x14ac:dyDescent="0.3">
      <c r="A44" s="127"/>
      <c r="B44" s="128"/>
      <c r="C44" s="128"/>
      <c r="D44" s="128"/>
      <c r="E44" s="128"/>
      <c r="F44" s="129"/>
      <c r="G44" s="128"/>
      <c r="H44" s="128"/>
      <c r="I44" s="128"/>
      <c r="J44" s="128"/>
      <c r="K44" s="128"/>
      <c r="L44" s="128"/>
      <c r="M44" s="128"/>
      <c r="N44" s="129"/>
      <c r="O44" s="82"/>
      <c r="P44" s="128"/>
      <c r="Q44" s="128"/>
      <c r="R44" s="128"/>
      <c r="S44" s="128"/>
      <c r="T44" s="128"/>
      <c r="U44" s="128"/>
      <c r="V44" s="123"/>
      <c r="W44" s="123"/>
      <c r="X44" s="123"/>
      <c r="Y44" s="123"/>
      <c r="Z44" s="124"/>
      <c r="AA44" s="123"/>
      <c r="AB44" s="123"/>
      <c r="AC44" s="123"/>
      <c r="AD44" s="125"/>
    </row>
    <row r="45" spans="1:30" x14ac:dyDescent="0.3">
      <c r="A45" s="127"/>
      <c r="B45" s="128"/>
      <c r="C45" s="128"/>
      <c r="D45" s="128"/>
      <c r="E45" s="128"/>
      <c r="F45" s="129"/>
      <c r="G45" s="128"/>
      <c r="H45" s="128"/>
      <c r="I45" s="128"/>
      <c r="J45" s="128"/>
      <c r="K45" s="128"/>
      <c r="L45" s="128"/>
      <c r="M45" s="128"/>
      <c r="N45" s="129"/>
      <c r="O45" s="82"/>
      <c r="P45" s="128"/>
      <c r="Q45" s="128"/>
      <c r="R45" s="128"/>
      <c r="S45" s="128"/>
      <c r="T45" s="128"/>
      <c r="U45" s="128"/>
      <c r="V45" s="123"/>
      <c r="W45" s="123"/>
      <c r="X45" s="123"/>
      <c r="Y45" s="123"/>
      <c r="Z45" s="124"/>
      <c r="AA45" s="123"/>
      <c r="AB45" s="123"/>
      <c r="AC45" s="123"/>
      <c r="AD45" s="125"/>
    </row>
    <row r="46" spans="1:30" x14ac:dyDescent="0.3">
      <c r="A46" s="127"/>
      <c r="B46" s="128"/>
      <c r="C46" s="128"/>
      <c r="D46" s="128"/>
      <c r="E46" s="128"/>
      <c r="F46" s="129"/>
      <c r="G46" s="128"/>
      <c r="H46" s="128"/>
      <c r="I46" s="128"/>
      <c r="J46" s="128"/>
      <c r="K46" s="128"/>
      <c r="L46" s="128"/>
      <c r="M46" s="128"/>
      <c r="N46" s="129"/>
      <c r="O46" s="82"/>
      <c r="P46" s="128"/>
      <c r="Q46" s="128"/>
      <c r="R46" s="128"/>
      <c r="S46" s="128"/>
      <c r="T46" s="128"/>
      <c r="U46" s="128"/>
      <c r="V46" s="123"/>
      <c r="W46" s="123"/>
      <c r="X46" s="123"/>
      <c r="Y46" s="123"/>
      <c r="Z46" s="124"/>
      <c r="AA46" s="123"/>
      <c r="AB46" s="123"/>
      <c r="AC46" s="123"/>
      <c r="AD46" s="125"/>
    </row>
    <row r="47" spans="1:30" x14ac:dyDescent="0.3">
      <c r="A47" s="127"/>
      <c r="B47" s="128"/>
      <c r="C47" s="128"/>
      <c r="D47" s="128"/>
      <c r="E47" s="128"/>
      <c r="F47" s="129"/>
      <c r="G47" s="128"/>
      <c r="H47" s="128"/>
      <c r="I47" s="128"/>
      <c r="J47" s="128"/>
      <c r="K47" s="128"/>
      <c r="L47" s="128"/>
      <c r="M47" s="128"/>
      <c r="N47" s="129"/>
      <c r="O47" s="82"/>
      <c r="P47" s="128"/>
      <c r="Q47" s="128"/>
      <c r="R47" s="128"/>
      <c r="S47" s="128"/>
      <c r="T47" s="128"/>
      <c r="U47" s="128"/>
      <c r="V47" s="123"/>
      <c r="W47" s="123"/>
      <c r="X47" s="123"/>
      <c r="Y47" s="123"/>
      <c r="Z47" s="124"/>
      <c r="AA47" s="123"/>
      <c r="AB47" s="123"/>
      <c r="AC47" s="123"/>
      <c r="AD47" s="125"/>
    </row>
    <row r="48" spans="1:30" x14ac:dyDescent="0.3">
      <c r="A48" s="127"/>
      <c r="B48" s="128"/>
      <c r="C48" s="128"/>
      <c r="D48" s="128"/>
      <c r="E48" s="128"/>
      <c r="F48" s="129"/>
      <c r="G48" s="128"/>
      <c r="H48" s="128"/>
      <c r="I48" s="128"/>
      <c r="J48" s="128"/>
      <c r="K48" s="128"/>
      <c r="L48" s="128"/>
      <c r="M48" s="128"/>
      <c r="N48" s="129"/>
      <c r="O48" s="82"/>
      <c r="P48" s="128"/>
      <c r="Q48" s="128"/>
      <c r="R48" s="128"/>
      <c r="S48" s="128"/>
      <c r="T48" s="128"/>
      <c r="U48" s="128"/>
      <c r="V48" s="123"/>
      <c r="W48" s="123"/>
      <c r="X48" s="123"/>
      <c r="Y48" s="123"/>
      <c r="Z48" s="124"/>
      <c r="AA48" s="123"/>
      <c r="AB48" s="123"/>
      <c r="AC48" s="123"/>
      <c r="AD48" s="125"/>
    </row>
    <row r="49" spans="1:30" x14ac:dyDescent="0.3">
      <c r="A49" s="127"/>
      <c r="B49" s="128"/>
      <c r="C49" s="128"/>
      <c r="D49" s="128"/>
      <c r="E49" s="128"/>
      <c r="F49" s="129"/>
      <c r="G49" s="128"/>
      <c r="H49" s="128"/>
      <c r="I49" s="128"/>
      <c r="J49" s="128"/>
      <c r="K49" s="128"/>
      <c r="L49" s="128"/>
      <c r="M49" s="128"/>
      <c r="N49" s="129"/>
      <c r="O49" s="82"/>
      <c r="P49" s="128"/>
      <c r="Q49" s="128"/>
      <c r="R49" s="128"/>
      <c r="S49" s="128"/>
      <c r="T49" s="128"/>
      <c r="U49" s="128"/>
      <c r="V49" s="123"/>
      <c r="W49" s="123"/>
      <c r="X49" s="123"/>
      <c r="Y49" s="123"/>
      <c r="Z49" s="124"/>
      <c r="AA49" s="123"/>
      <c r="AB49" s="123"/>
      <c r="AC49" s="123"/>
      <c r="AD49" s="125"/>
    </row>
    <row r="50" spans="1:30" x14ac:dyDescent="0.3">
      <c r="A50" s="127"/>
      <c r="B50" s="128"/>
      <c r="C50" s="128"/>
      <c r="D50" s="128"/>
      <c r="E50" s="128"/>
      <c r="F50" s="129"/>
      <c r="G50" s="128"/>
      <c r="H50" s="128"/>
      <c r="I50" s="128"/>
      <c r="J50" s="128"/>
      <c r="K50" s="128"/>
      <c r="L50" s="128"/>
      <c r="M50" s="128"/>
      <c r="N50" s="129"/>
      <c r="O50" s="82"/>
      <c r="P50" s="128"/>
      <c r="Q50" s="128"/>
      <c r="R50" s="128"/>
      <c r="S50" s="128"/>
      <c r="T50" s="128"/>
      <c r="U50" s="128"/>
      <c r="V50" s="123"/>
      <c r="W50" s="123"/>
      <c r="X50" s="123"/>
      <c r="Y50" s="123"/>
      <c r="Z50" s="124"/>
      <c r="AA50" s="123"/>
      <c r="AB50" s="123"/>
      <c r="AC50" s="123"/>
      <c r="AD50" s="125"/>
    </row>
    <row r="51" spans="1:30" x14ac:dyDescent="0.3">
      <c r="A51" s="127"/>
      <c r="B51" s="128"/>
      <c r="C51" s="128"/>
      <c r="D51" s="128"/>
      <c r="E51" s="128"/>
      <c r="F51" s="129"/>
      <c r="G51" s="128"/>
      <c r="H51" s="128"/>
      <c r="I51" s="128"/>
      <c r="J51" s="128"/>
      <c r="K51" s="128"/>
      <c r="L51" s="128"/>
      <c r="M51" s="128"/>
      <c r="N51" s="129"/>
      <c r="O51" s="82"/>
      <c r="P51" s="128"/>
      <c r="Q51" s="128"/>
      <c r="R51" s="128"/>
      <c r="S51" s="128"/>
      <c r="T51" s="128"/>
      <c r="U51" s="128"/>
      <c r="V51" s="123"/>
      <c r="W51" s="123"/>
      <c r="X51" s="123"/>
      <c r="Y51" s="123"/>
      <c r="Z51" s="124"/>
      <c r="AA51" s="123"/>
      <c r="AB51" s="123"/>
      <c r="AC51" s="123"/>
      <c r="AD51" s="125"/>
    </row>
    <row r="52" spans="1:30" x14ac:dyDescent="0.3">
      <c r="A52" s="127"/>
      <c r="B52" s="128"/>
      <c r="C52" s="128"/>
      <c r="D52" s="128"/>
      <c r="E52" s="128"/>
      <c r="F52" s="129"/>
      <c r="G52" s="128"/>
      <c r="H52" s="128"/>
      <c r="I52" s="128"/>
      <c r="J52" s="128"/>
      <c r="K52" s="128"/>
      <c r="L52" s="128"/>
      <c r="M52" s="128"/>
      <c r="N52" s="129"/>
      <c r="O52" s="82"/>
      <c r="P52" s="128"/>
      <c r="Q52" s="128"/>
      <c r="R52" s="128"/>
      <c r="S52" s="128"/>
      <c r="T52" s="128"/>
      <c r="U52" s="128"/>
      <c r="V52" s="123"/>
      <c r="W52" s="123"/>
      <c r="X52" s="123"/>
      <c r="Y52" s="123"/>
      <c r="Z52" s="124"/>
      <c r="AA52" s="123"/>
      <c r="AB52" s="123"/>
      <c r="AC52" s="123"/>
      <c r="AD52" s="125"/>
    </row>
    <row r="53" spans="1:30" x14ac:dyDescent="0.3">
      <c r="A53" s="127"/>
      <c r="B53" s="128"/>
      <c r="C53" s="128"/>
      <c r="D53" s="128"/>
      <c r="E53" s="128"/>
      <c r="F53" s="129"/>
      <c r="G53" s="128"/>
      <c r="H53" s="128"/>
      <c r="I53" s="128"/>
      <c r="J53" s="128"/>
      <c r="K53" s="128"/>
      <c r="L53" s="128"/>
      <c r="M53" s="128"/>
      <c r="N53" s="129"/>
      <c r="O53" s="82"/>
      <c r="P53" s="128"/>
      <c r="Q53" s="128"/>
      <c r="R53" s="128"/>
      <c r="S53" s="128"/>
      <c r="T53" s="128"/>
      <c r="U53" s="128"/>
      <c r="V53" s="123"/>
      <c r="W53" s="123"/>
      <c r="X53" s="123"/>
      <c r="Y53" s="123"/>
      <c r="Z53" s="124"/>
      <c r="AA53" s="123"/>
      <c r="AB53" s="123"/>
      <c r="AC53" s="123"/>
      <c r="AD53" s="125"/>
    </row>
    <row r="54" spans="1:30" x14ac:dyDescent="0.3">
      <c r="A54" s="127"/>
      <c r="B54" s="128"/>
      <c r="C54" s="128"/>
      <c r="D54" s="128"/>
      <c r="E54" s="128"/>
      <c r="F54" s="129"/>
      <c r="G54" s="128"/>
      <c r="H54" s="128"/>
      <c r="I54" s="128"/>
      <c r="J54" s="128"/>
      <c r="K54" s="128"/>
      <c r="L54" s="128"/>
      <c r="M54" s="128"/>
      <c r="N54" s="129"/>
      <c r="O54" s="82"/>
      <c r="P54" s="128"/>
      <c r="Q54" s="128"/>
      <c r="R54" s="128"/>
      <c r="S54" s="128"/>
      <c r="T54" s="128"/>
      <c r="U54" s="128"/>
      <c r="V54" s="123"/>
      <c r="W54" s="123"/>
      <c r="X54" s="123"/>
      <c r="Y54" s="123"/>
      <c r="Z54" s="124"/>
      <c r="AA54" s="123"/>
      <c r="AB54" s="123"/>
      <c r="AC54" s="123"/>
      <c r="AD54" s="125"/>
    </row>
    <row r="55" spans="1:30" x14ac:dyDescent="0.3">
      <c r="A55" s="127"/>
      <c r="B55" s="128"/>
      <c r="C55" s="128"/>
      <c r="D55" s="128"/>
      <c r="E55" s="128"/>
      <c r="F55" s="129"/>
      <c r="G55" s="128"/>
      <c r="H55" s="128"/>
      <c r="I55" s="128"/>
      <c r="J55" s="128"/>
      <c r="K55" s="128"/>
      <c r="L55" s="128"/>
      <c r="M55" s="128"/>
      <c r="N55" s="129"/>
      <c r="O55" s="82"/>
      <c r="P55" s="128"/>
      <c r="Q55" s="128"/>
      <c r="R55" s="128"/>
      <c r="S55" s="128"/>
      <c r="T55" s="128"/>
      <c r="U55" s="128"/>
      <c r="V55" s="123"/>
      <c r="W55" s="123"/>
      <c r="X55" s="123"/>
      <c r="Y55" s="123"/>
      <c r="Z55" s="124"/>
      <c r="AA55" s="123"/>
      <c r="AB55" s="123"/>
      <c r="AC55" s="123"/>
      <c r="AD55" s="125"/>
    </row>
    <row r="56" spans="1:30" x14ac:dyDescent="0.3">
      <c r="A56" s="127"/>
      <c r="B56" s="128"/>
      <c r="C56" s="128"/>
      <c r="D56" s="128"/>
      <c r="E56" s="128"/>
      <c r="F56" s="129"/>
      <c r="G56" s="128"/>
      <c r="H56" s="128"/>
      <c r="I56" s="128"/>
      <c r="J56" s="128"/>
      <c r="K56" s="128"/>
      <c r="L56" s="128"/>
      <c r="M56" s="128"/>
      <c r="N56" s="129"/>
      <c r="O56" s="82"/>
      <c r="P56" s="128"/>
      <c r="Q56" s="128"/>
      <c r="R56" s="128"/>
      <c r="S56" s="128"/>
      <c r="T56" s="128"/>
      <c r="U56" s="128"/>
      <c r="V56" s="123"/>
      <c r="W56" s="123"/>
      <c r="X56" s="123"/>
      <c r="Y56" s="123"/>
      <c r="Z56" s="124"/>
      <c r="AA56" s="123"/>
      <c r="AB56" s="123"/>
      <c r="AC56" s="123"/>
      <c r="AD56" s="125"/>
    </row>
    <row r="57" spans="1:30" x14ac:dyDescent="0.3">
      <c r="A57" s="127"/>
      <c r="B57" s="128"/>
      <c r="C57" s="128"/>
      <c r="D57" s="128"/>
      <c r="E57" s="128"/>
      <c r="F57" s="129"/>
      <c r="G57" s="128"/>
      <c r="H57" s="128"/>
      <c r="I57" s="128"/>
      <c r="J57" s="128"/>
      <c r="K57" s="128"/>
      <c r="L57" s="128"/>
      <c r="M57" s="128"/>
      <c r="N57" s="129"/>
      <c r="O57" s="82"/>
      <c r="P57" s="128"/>
      <c r="Q57" s="128"/>
      <c r="R57" s="128"/>
      <c r="S57" s="128"/>
      <c r="T57" s="128"/>
      <c r="U57" s="128"/>
      <c r="V57" s="123"/>
      <c r="W57" s="123"/>
      <c r="X57" s="123"/>
      <c r="Y57" s="123"/>
      <c r="Z57" s="124"/>
      <c r="AA57" s="123"/>
      <c r="AB57" s="123"/>
      <c r="AC57" s="123"/>
      <c r="AD57" s="125"/>
    </row>
    <row r="58" spans="1:30" x14ac:dyDescent="0.3">
      <c r="A58" s="127"/>
      <c r="B58" s="128"/>
      <c r="C58" s="128"/>
      <c r="D58" s="128"/>
      <c r="E58" s="128"/>
      <c r="F58" s="129"/>
      <c r="G58" s="128"/>
      <c r="H58" s="128"/>
      <c r="I58" s="128"/>
      <c r="J58" s="128"/>
      <c r="K58" s="128"/>
      <c r="L58" s="128"/>
      <c r="M58" s="128"/>
      <c r="N58" s="129"/>
      <c r="O58" s="82"/>
      <c r="P58" s="128"/>
      <c r="Q58" s="128"/>
      <c r="R58" s="128"/>
      <c r="S58" s="128"/>
      <c r="T58" s="128"/>
      <c r="U58" s="128"/>
      <c r="V58" s="123"/>
      <c r="W58" s="123"/>
      <c r="X58" s="123"/>
      <c r="Y58" s="123"/>
      <c r="Z58" s="124"/>
      <c r="AA58" s="123"/>
      <c r="AB58" s="123"/>
      <c r="AC58" s="123"/>
      <c r="AD58" s="125"/>
    </row>
    <row r="59" spans="1:30" x14ac:dyDescent="0.3">
      <c r="A59" s="127"/>
      <c r="B59" s="128"/>
      <c r="C59" s="128"/>
      <c r="D59" s="128"/>
      <c r="E59" s="128"/>
      <c r="F59" s="129"/>
      <c r="G59" s="128"/>
      <c r="H59" s="128"/>
      <c r="I59" s="128"/>
      <c r="J59" s="128"/>
      <c r="K59" s="128"/>
      <c r="L59" s="128"/>
      <c r="M59" s="128"/>
      <c r="N59" s="129"/>
      <c r="O59" s="82"/>
      <c r="P59" s="128"/>
      <c r="Q59" s="128"/>
      <c r="R59" s="128"/>
      <c r="S59" s="128"/>
      <c r="T59" s="128"/>
      <c r="U59" s="128"/>
      <c r="V59" s="123"/>
      <c r="W59" s="123"/>
      <c r="X59" s="123"/>
      <c r="Y59" s="123"/>
      <c r="Z59" s="124"/>
      <c r="AA59" s="123"/>
      <c r="AB59" s="123"/>
      <c r="AC59" s="123"/>
      <c r="AD59" s="125"/>
    </row>
    <row r="60" spans="1:30" x14ac:dyDescent="0.3">
      <c r="A60" s="127"/>
      <c r="B60" s="128"/>
      <c r="C60" s="128"/>
      <c r="D60" s="128"/>
      <c r="E60" s="128"/>
      <c r="F60" s="129"/>
      <c r="G60" s="128"/>
      <c r="H60" s="128"/>
      <c r="I60" s="128"/>
      <c r="J60" s="128"/>
      <c r="K60" s="128"/>
      <c r="L60" s="128"/>
      <c r="M60" s="128"/>
      <c r="N60" s="129"/>
      <c r="O60" s="82"/>
      <c r="P60" s="128"/>
      <c r="Q60" s="128"/>
      <c r="R60" s="128"/>
      <c r="S60" s="128"/>
      <c r="T60" s="128"/>
      <c r="U60" s="128"/>
      <c r="V60" s="123"/>
      <c r="W60" s="123"/>
      <c r="X60" s="123"/>
      <c r="Y60" s="123"/>
      <c r="Z60" s="124"/>
      <c r="AA60" s="123"/>
      <c r="AB60" s="123"/>
      <c r="AC60" s="123"/>
      <c r="AD60" s="125"/>
    </row>
    <row r="61" spans="1:30" x14ac:dyDescent="0.3">
      <c r="A61" s="127"/>
      <c r="B61" s="128"/>
      <c r="C61" s="128"/>
      <c r="D61" s="128"/>
      <c r="E61" s="128"/>
      <c r="F61" s="129"/>
      <c r="G61" s="128"/>
      <c r="H61" s="128"/>
      <c r="I61" s="128"/>
      <c r="J61" s="128"/>
      <c r="K61" s="128"/>
      <c r="L61" s="128"/>
      <c r="M61" s="128"/>
      <c r="N61" s="129"/>
      <c r="O61" s="82"/>
      <c r="P61" s="128"/>
      <c r="Q61" s="128"/>
      <c r="R61" s="128"/>
      <c r="S61" s="128"/>
      <c r="T61" s="128"/>
      <c r="U61" s="128"/>
      <c r="V61" s="123"/>
      <c r="W61" s="123"/>
      <c r="X61" s="123"/>
      <c r="Y61" s="123"/>
      <c r="Z61" s="124"/>
      <c r="AA61" s="123"/>
      <c r="AB61" s="123"/>
      <c r="AC61" s="123"/>
      <c r="AD61" s="125"/>
    </row>
    <row r="62" spans="1:30" x14ac:dyDescent="0.3">
      <c r="A62" s="127"/>
      <c r="B62" s="128"/>
      <c r="C62" s="128"/>
      <c r="D62" s="128"/>
      <c r="E62" s="128"/>
      <c r="F62" s="129"/>
      <c r="G62" s="128"/>
      <c r="H62" s="128"/>
      <c r="I62" s="128"/>
      <c r="J62" s="128"/>
      <c r="K62" s="128"/>
      <c r="L62" s="128"/>
      <c r="M62" s="128"/>
      <c r="N62" s="129"/>
      <c r="O62" s="82"/>
      <c r="P62" s="128"/>
      <c r="Q62" s="128"/>
      <c r="R62" s="128"/>
      <c r="S62" s="128"/>
      <c r="T62" s="128"/>
      <c r="U62" s="128"/>
      <c r="V62" s="123"/>
      <c r="W62" s="123"/>
      <c r="X62" s="123"/>
      <c r="Y62" s="123"/>
      <c r="Z62" s="124"/>
      <c r="AA62" s="123"/>
      <c r="AB62" s="123"/>
      <c r="AC62" s="123"/>
      <c r="AD62" s="125"/>
    </row>
    <row r="63" spans="1:30" x14ac:dyDescent="0.3">
      <c r="A63" s="127"/>
      <c r="B63" s="128"/>
      <c r="C63" s="128"/>
      <c r="D63" s="128"/>
      <c r="E63" s="128"/>
      <c r="F63" s="129"/>
      <c r="G63" s="128"/>
      <c r="H63" s="128"/>
      <c r="I63" s="128"/>
      <c r="J63" s="128"/>
      <c r="K63" s="128"/>
      <c r="L63" s="128"/>
      <c r="M63" s="128"/>
      <c r="N63" s="129"/>
      <c r="O63" s="82"/>
      <c r="P63" s="128"/>
      <c r="Q63" s="128"/>
      <c r="R63" s="128"/>
      <c r="S63" s="128"/>
      <c r="T63" s="128"/>
      <c r="U63" s="128"/>
      <c r="V63" s="123"/>
      <c r="W63" s="123"/>
      <c r="X63" s="123"/>
      <c r="Y63" s="123"/>
      <c r="Z63" s="124"/>
      <c r="AA63" s="123"/>
      <c r="AB63" s="123"/>
      <c r="AC63" s="123"/>
      <c r="AD63" s="125"/>
    </row>
    <row r="64" spans="1:30" x14ac:dyDescent="0.3">
      <c r="A64" s="127"/>
      <c r="B64" s="128"/>
      <c r="C64" s="128"/>
      <c r="D64" s="128"/>
      <c r="E64" s="128"/>
      <c r="F64" s="129"/>
      <c r="G64" s="128"/>
      <c r="H64" s="128"/>
      <c r="I64" s="128"/>
      <c r="J64" s="128"/>
      <c r="K64" s="128"/>
      <c r="L64" s="128"/>
      <c r="M64" s="128"/>
      <c r="N64" s="129"/>
      <c r="O64" s="82"/>
      <c r="P64" s="128"/>
      <c r="Q64" s="128"/>
      <c r="R64" s="128"/>
      <c r="S64" s="128"/>
      <c r="T64" s="128"/>
      <c r="U64" s="128"/>
      <c r="V64" s="123"/>
      <c r="W64" s="123"/>
      <c r="X64" s="123"/>
      <c r="Y64" s="123"/>
      <c r="Z64" s="124"/>
      <c r="AA64" s="123"/>
      <c r="AB64" s="123"/>
      <c r="AC64" s="123"/>
      <c r="AD64" s="125"/>
    </row>
    <row r="65" spans="1:30" x14ac:dyDescent="0.3">
      <c r="A65" s="127"/>
      <c r="B65" s="128"/>
      <c r="C65" s="128"/>
      <c r="D65" s="128"/>
      <c r="E65" s="128"/>
      <c r="F65" s="129"/>
      <c r="G65" s="128"/>
      <c r="H65" s="128"/>
      <c r="I65" s="128"/>
      <c r="J65" s="128"/>
      <c r="K65" s="128"/>
      <c r="L65" s="128"/>
      <c r="M65" s="128"/>
      <c r="N65" s="129"/>
      <c r="O65" s="82"/>
      <c r="P65" s="128"/>
      <c r="Q65" s="128"/>
      <c r="R65" s="128"/>
      <c r="S65" s="128"/>
      <c r="T65" s="128"/>
      <c r="U65" s="128"/>
      <c r="V65" s="123"/>
      <c r="W65" s="123"/>
      <c r="X65" s="123"/>
      <c r="Y65" s="123"/>
      <c r="Z65" s="124"/>
      <c r="AA65" s="123"/>
      <c r="AB65" s="123"/>
      <c r="AC65" s="123"/>
      <c r="AD65" s="125"/>
    </row>
    <row r="66" spans="1:30" x14ac:dyDescent="0.3">
      <c r="A66" s="127"/>
      <c r="B66" s="128"/>
      <c r="C66" s="128"/>
      <c r="D66" s="128"/>
      <c r="E66" s="128"/>
      <c r="F66" s="129"/>
      <c r="G66" s="128"/>
      <c r="H66" s="128"/>
      <c r="I66" s="128"/>
      <c r="J66" s="128"/>
      <c r="K66" s="128"/>
      <c r="L66" s="128"/>
      <c r="M66" s="128"/>
      <c r="N66" s="129"/>
      <c r="O66" s="82"/>
      <c r="P66" s="128"/>
      <c r="Q66" s="128"/>
      <c r="R66" s="128"/>
      <c r="S66" s="128"/>
      <c r="T66" s="128"/>
      <c r="U66" s="128"/>
      <c r="V66" s="123"/>
      <c r="W66" s="123"/>
      <c r="X66" s="123"/>
      <c r="Y66" s="123"/>
      <c r="Z66" s="124"/>
      <c r="AA66" s="123"/>
      <c r="AB66" s="123"/>
      <c r="AC66" s="123"/>
      <c r="AD66" s="125"/>
    </row>
    <row r="67" spans="1:30" x14ac:dyDescent="0.3">
      <c r="A67" s="127"/>
      <c r="B67" s="128"/>
      <c r="C67" s="128"/>
      <c r="D67" s="128"/>
      <c r="E67" s="128"/>
      <c r="F67" s="129"/>
      <c r="G67" s="128"/>
      <c r="H67" s="128"/>
      <c r="I67" s="128"/>
      <c r="J67" s="128"/>
      <c r="K67" s="128"/>
      <c r="L67" s="128"/>
      <c r="M67" s="128"/>
      <c r="N67" s="129"/>
      <c r="O67" s="82"/>
      <c r="P67" s="128"/>
      <c r="Q67" s="128"/>
      <c r="R67" s="128"/>
      <c r="S67" s="128"/>
      <c r="T67" s="128"/>
      <c r="U67" s="128"/>
      <c r="V67" s="123"/>
      <c r="W67" s="123"/>
      <c r="X67" s="123"/>
      <c r="Y67" s="123"/>
      <c r="Z67" s="124"/>
      <c r="AA67" s="123"/>
      <c r="AB67" s="123"/>
      <c r="AC67" s="123"/>
      <c r="AD67" s="125"/>
    </row>
    <row r="68" spans="1:30" x14ac:dyDescent="0.3">
      <c r="A68" s="127"/>
      <c r="B68" s="128"/>
      <c r="C68" s="128"/>
      <c r="D68" s="128"/>
      <c r="E68" s="128"/>
      <c r="F68" s="129"/>
      <c r="G68" s="128"/>
      <c r="H68" s="128"/>
      <c r="I68" s="128"/>
      <c r="J68" s="128"/>
      <c r="K68" s="128"/>
      <c r="L68" s="128"/>
      <c r="M68" s="128"/>
      <c r="N68" s="129"/>
      <c r="O68" s="82"/>
      <c r="P68" s="128"/>
      <c r="Q68" s="128"/>
      <c r="R68" s="128"/>
      <c r="S68" s="128"/>
      <c r="T68" s="128"/>
      <c r="U68" s="128"/>
      <c r="V68" s="123"/>
      <c r="W68" s="123"/>
      <c r="X68" s="123"/>
      <c r="Y68" s="123"/>
      <c r="Z68" s="124"/>
      <c r="AA68" s="123"/>
      <c r="AB68" s="123"/>
      <c r="AC68" s="123"/>
      <c r="AD68" s="125"/>
    </row>
    <row r="69" spans="1:30" x14ac:dyDescent="0.3">
      <c r="A69" s="127"/>
      <c r="B69" s="128"/>
      <c r="C69" s="128"/>
      <c r="D69" s="128"/>
      <c r="E69" s="128"/>
      <c r="F69" s="129"/>
      <c r="G69" s="128"/>
      <c r="H69" s="128"/>
      <c r="I69" s="128"/>
      <c r="J69" s="128"/>
      <c r="K69" s="128"/>
      <c r="L69" s="128"/>
      <c r="M69" s="128"/>
      <c r="N69" s="129"/>
      <c r="O69" s="82"/>
      <c r="P69" s="128"/>
      <c r="Q69" s="128"/>
      <c r="R69" s="128"/>
      <c r="S69" s="128"/>
      <c r="T69" s="128"/>
      <c r="U69" s="128"/>
      <c r="V69" s="123"/>
      <c r="W69" s="123"/>
      <c r="X69" s="123"/>
      <c r="Y69" s="123"/>
      <c r="Z69" s="124"/>
      <c r="AA69" s="123"/>
      <c r="AB69" s="123"/>
      <c r="AC69" s="123"/>
      <c r="AD69" s="125"/>
    </row>
    <row r="70" spans="1:30" x14ac:dyDescent="0.3">
      <c r="A70" s="127"/>
      <c r="B70" s="128"/>
      <c r="C70" s="128"/>
      <c r="D70" s="128"/>
      <c r="E70" s="128"/>
      <c r="F70" s="129"/>
      <c r="G70" s="128"/>
      <c r="H70" s="128"/>
      <c r="I70" s="128"/>
      <c r="J70" s="128"/>
      <c r="K70" s="128"/>
      <c r="L70" s="128"/>
      <c r="M70" s="128"/>
      <c r="N70" s="129"/>
      <c r="O70" s="82"/>
      <c r="P70" s="128"/>
      <c r="Q70" s="128"/>
      <c r="R70" s="128"/>
      <c r="S70" s="128"/>
      <c r="T70" s="128"/>
      <c r="U70" s="128"/>
      <c r="V70" s="123"/>
      <c r="W70" s="123"/>
      <c r="X70" s="123"/>
      <c r="Y70" s="123"/>
      <c r="Z70" s="124"/>
      <c r="AA70" s="123"/>
      <c r="AB70" s="123"/>
      <c r="AC70" s="123"/>
      <c r="AD70" s="125"/>
    </row>
    <row r="71" spans="1:30" x14ac:dyDescent="0.3">
      <c r="A71" s="127"/>
      <c r="B71" s="128"/>
      <c r="C71" s="128"/>
      <c r="D71" s="128"/>
      <c r="E71" s="128"/>
      <c r="F71" s="129"/>
      <c r="G71" s="128"/>
      <c r="H71" s="128"/>
      <c r="I71" s="128"/>
      <c r="J71" s="128"/>
      <c r="K71" s="128"/>
      <c r="L71" s="128"/>
      <c r="M71" s="128"/>
      <c r="N71" s="129"/>
      <c r="O71" s="82"/>
      <c r="P71" s="128"/>
      <c r="Q71" s="128"/>
      <c r="R71" s="128"/>
      <c r="S71" s="128"/>
      <c r="T71" s="128"/>
      <c r="U71" s="128"/>
      <c r="V71" s="123"/>
      <c r="W71" s="123"/>
      <c r="X71" s="123"/>
      <c r="Y71" s="123"/>
      <c r="Z71" s="124"/>
      <c r="AA71" s="123"/>
      <c r="AB71" s="123"/>
      <c r="AC71" s="123"/>
      <c r="AD71" s="125"/>
    </row>
    <row r="72" spans="1:30" x14ac:dyDescent="0.3">
      <c r="A72" s="127"/>
      <c r="B72" s="128"/>
      <c r="C72" s="128"/>
      <c r="D72" s="128"/>
      <c r="E72" s="128"/>
      <c r="F72" s="129"/>
      <c r="G72" s="128"/>
      <c r="H72" s="128"/>
      <c r="I72" s="128"/>
      <c r="J72" s="128"/>
      <c r="K72" s="128"/>
      <c r="L72" s="128"/>
      <c r="M72" s="128"/>
      <c r="N72" s="129"/>
      <c r="O72" s="82"/>
      <c r="P72" s="128"/>
      <c r="Q72" s="128"/>
      <c r="R72" s="128"/>
      <c r="S72" s="128"/>
      <c r="T72" s="128"/>
      <c r="U72" s="128"/>
      <c r="V72" s="123"/>
      <c r="W72" s="123"/>
      <c r="X72" s="123"/>
      <c r="Y72" s="123"/>
      <c r="Z72" s="124"/>
      <c r="AA72" s="123"/>
      <c r="AB72" s="123"/>
      <c r="AC72" s="123"/>
      <c r="AD72" s="125"/>
    </row>
    <row r="73" spans="1:30" x14ac:dyDescent="0.3">
      <c r="A73" s="127"/>
      <c r="B73" s="128"/>
      <c r="C73" s="128"/>
      <c r="D73" s="128"/>
      <c r="E73" s="128"/>
      <c r="F73" s="129"/>
      <c r="G73" s="128"/>
      <c r="H73" s="128"/>
      <c r="I73" s="128"/>
      <c r="J73" s="128"/>
      <c r="K73" s="128"/>
      <c r="L73" s="128"/>
      <c r="M73" s="128"/>
      <c r="N73" s="129"/>
      <c r="O73" s="82"/>
      <c r="P73" s="128"/>
      <c r="Q73" s="128"/>
      <c r="R73" s="128"/>
      <c r="S73" s="128"/>
      <c r="T73" s="128"/>
      <c r="U73" s="128"/>
      <c r="V73" s="123"/>
      <c r="W73" s="123"/>
      <c r="X73" s="123"/>
      <c r="Y73" s="123"/>
      <c r="Z73" s="124"/>
      <c r="AA73" s="123"/>
      <c r="AB73" s="123"/>
      <c r="AC73" s="123"/>
      <c r="AD73" s="125"/>
    </row>
    <row r="74" spans="1:30" x14ac:dyDescent="0.3">
      <c r="A74" s="127"/>
      <c r="B74" s="128"/>
      <c r="C74" s="128"/>
      <c r="D74" s="128"/>
      <c r="E74" s="128"/>
      <c r="F74" s="129"/>
      <c r="G74" s="128"/>
      <c r="H74" s="128"/>
      <c r="I74" s="128"/>
      <c r="J74" s="128"/>
      <c r="K74" s="128"/>
      <c r="L74" s="128"/>
      <c r="M74" s="128"/>
      <c r="N74" s="129"/>
      <c r="O74" s="82"/>
      <c r="P74" s="128"/>
      <c r="Q74" s="128"/>
      <c r="R74" s="128"/>
      <c r="S74" s="128"/>
      <c r="T74" s="128"/>
      <c r="U74" s="128"/>
      <c r="V74" s="123"/>
      <c r="W74" s="123"/>
      <c r="X74" s="123"/>
      <c r="Y74" s="123"/>
      <c r="Z74" s="124"/>
      <c r="AA74" s="123"/>
      <c r="AB74" s="123"/>
      <c r="AC74" s="123"/>
      <c r="AD74" s="125"/>
    </row>
    <row r="75" spans="1:30" x14ac:dyDescent="0.3">
      <c r="A75" s="127"/>
      <c r="B75" s="128"/>
      <c r="C75" s="128"/>
      <c r="D75" s="128"/>
      <c r="E75" s="128"/>
      <c r="F75" s="129"/>
      <c r="G75" s="128"/>
      <c r="H75" s="128"/>
      <c r="I75" s="128"/>
      <c r="J75" s="128"/>
      <c r="K75" s="128"/>
      <c r="L75" s="128"/>
      <c r="M75" s="128"/>
      <c r="N75" s="129"/>
      <c r="O75" s="82"/>
      <c r="P75" s="128"/>
      <c r="Q75" s="128"/>
      <c r="R75" s="128"/>
      <c r="S75" s="128"/>
      <c r="T75" s="128"/>
      <c r="U75" s="128"/>
      <c r="V75" s="123"/>
      <c r="W75" s="123"/>
      <c r="X75" s="123"/>
      <c r="Y75" s="123"/>
      <c r="Z75" s="124"/>
      <c r="AA75" s="123"/>
      <c r="AB75" s="123"/>
      <c r="AC75" s="123"/>
      <c r="AD75" s="125"/>
    </row>
    <row r="76" spans="1:30" x14ac:dyDescent="0.3">
      <c r="A76" s="127"/>
      <c r="B76" s="128"/>
      <c r="C76" s="128"/>
      <c r="D76" s="128"/>
      <c r="E76" s="128"/>
      <c r="F76" s="129"/>
      <c r="G76" s="128"/>
      <c r="H76" s="128"/>
      <c r="I76" s="128"/>
      <c r="J76" s="128"/>
      <c r="K76" s="128"/>
      <c r="L76" s="128"/>
      <c r="M76" s="128"/>
      <c r="N76" s="129"/>
      <c r="O76" s="82"/>
      <c r="P76" s="128"/>
      <c r="Q76" s="128"/>
      <c r="R76" s="128"/>
      <c r="S76" s="128"/>
      <c r="T76" s="128"/>
      <c r="U76" s="128"/>
      <c r="V76" s="123"/>
      <c r="W76" s="123"/>
      <c r="X76" s="123"/>
      <c r="Y76" s="123"/>
      <c r="Z76" s="124"/>
      <c r="AA76" s="123"/>
      <c r="AB76" s="123"/>
      <c r="AC76" s="123"/>
      <c r="AD76" s="125"/>
    </row>
    <row r="77" spans="1:30" x14ac:dyDescent="0.3">
      <c r="A77" s="127"/>
      <c r="B77" s="128"/>
      <c r="C77" s="128"/>
      <c r="D77" s="128"/>
      <c r="E77" s="128"/>
      <c r="F77" s="129"/>
      <c r="G77" s="128"/>
      <c r="H77" s="128"/>
      <c r="I77" s="128"/>
      <c r="J77" s="128"/>
      <c r="K77" s="128"/>
      <c r="L77" s="128"/>
      <c r="M77" s="128"/>
      <c r="N77" s="129"/>
      <c r="O77" s="82"/>
      <c r="P77" s="128"/>
      <c r="Q77" s="128"/>
      <c r="R77" s="128"/>
      <c r="S77" s="128"/>
      <c r="T77" s="128"/>
      <c r="U77" s="128"/>
      <c r="V77" s="123"/>
      <c r="W77" s="123"/>
      <c r="X77" s="123"/>
      <c r="Y77" s="123"/>
      <c r="Z77" s="124"/>
      <c r="AA77" s="123"/>
      <c r="AB77" s="123"/>
      <c r="AC77" s="123"/>
      <c r="AD77" s="125"/>
    </row>
    <row r="78" spans="1:30" x14ac:dyDescent="0.3">
      <c r="A78" s="127"/>
      <c r="B78" s="128"/>
      <c r="C78" s="128"/>
      <c r="D78" s="128"/>
      <c r="E78" s="128"/>
      <c r="F78" s="129"/>
      <c r="G78" s="128"/>
      <c r="H78" s="128"/>
      <c r="I78" s="128"/>
      <c r="J78" s="128"/>
      <c r="K78" s="128"/>
      <c r="L78" s="128"/>
      <c r="M78" s="128"/>
      <c r="N78" s="129"/>
      <c r="O78" s="82"/>
      <c r="P78" s="128"/>
      <c r="Q78" s="128"/>
      <c r="R78" s="128"/>
      <c r="S78" s="128"/>
      <c r="T78" s="128"/>
      <c r="U78" s="128"/>
      <c r="V78" s="123"/>
      <c r="W78" s="123"/>
      <c r="X78" s="123"/>
      <c r="Y78" s="123"/>
      <c r="Z78" s="124"/>
      <c r="AA78" s="123"/>
      <c r="AB78" s="123"/>
      <c r="AC78" s="123"/>
      <c r="AD78" s="125"/>
    </row>
    <row r="79" spans="1:30" x14ac:dyDescent="0.3">
      <c r="A79" s="127"/>
      <c r="B79" s="128"/>
      <c r="C79" s="128"/>
      <c r="D79" s="128"/>
      <c r="E79" s="128"/>
      <c r="F79" s="129"/>
      <c r="G79" s="128"/>
      <c r="H79" s="128"/>
      <c r="I79" s="128"/>
      <c r="J79" s="128"/>
      <c r="K79" s="128"/>
      <c r="L79" s="128"/>
      <c r="M79" s="128"/>
      <c r="N79" s="129"/>
      <c r="O79" s="82"/>
      <c r="P79" s="128"/>
      <c r="Q79" s="128"/>
      <c r="R79" s="128"/>
      <c r="S79" s="128"/>
      <c r="T79" s="128"/>
      <c r="U79" s="128"/>
      <c r="V79" s="123"/>
      <c r="W79" s="123"/>
      <c r="X79" s="123"/>
      <c r="Y79" s="123"/>
      <c r="Z79" s="124"/>
      <c r="AA79" s="123"/>
      <c r="AB79" s="123"/>
      <c r="AC79" s="123"/>
      <c r="AD79" s="125"/>
    </row>
    <row r="80" spans="1:30" x14ac:dyDescent="0.3">
      <c r="A80" s="127"/>
      <c r="B80" s="128"/>
      <c r="C80" s="128"/>
      <c r="D80" s="128"/>
      <c r="E80" s="128"/>
      <c r="F80" s="129"/>
      <c r="G80" s="128"/>
      <c r="H80" s="128"/>
      <c r="I80" s="128"/>
      <c r="J80" s="128"/>
      <c r="K80" s="128"/>
      <c r="L80" s="128"/>
      <c r="M80" s="128"/>
      <c r="N80" s="129"/>
      <c r="O80" s="82"/>
      <c r="P80" s="128"/>
      <c r="Q80" s="128"/>
      <c r="R80" s="128"/>
      <c r="S80" s="128"/>
      <c r="T80" s="128"/>
      <c r="U80" s="128"/>
      <c r="V80" s="123"/>
      <c r="W80" s="123"/>
      <c r="X80" s="123"/>
      <c r="Y80" s="123"/>
      <c r="Z80" s="124"/>
      <c r="AA80" s="123"/>
      <c r="AB80" s="123"/>
      <c r="AC80" s="123"/>
      <c r="AD80" s="125"/>
    </row>
    <row r="81" spans="1:30" x14ac:dyDescent="0.3">
      <c r="A81" s="127"/>
      <c r="B81" s="128"/>
      <c r="C81" s="128"/>
      <c r="D81" s="128"/>
      <c r="E81" s="128"/>
      <c r="F81" s="129"/>
      <c r="G81" s="128"/>
      <c r="H81" s="128"/>
      <c r="I81" s="128"/>
      <c r="J81" s="128"/>
      <c r="K81" s="128"/>
      <c r="L81" s="128"/>
      <c r="M81" s="128"/>
      <c r="N81" s="129"/>
      <c r="O81" s="82"/>
      <c r="P81" s="128"/>
      <c r="Q81" s="128"/>
      <c r="R81" s="128"/>
      <c r="S81" s="128"/>
      <c r="T81" s="128"/>
      <c r="U81" s="128"/>
      <c r="V81" s="123"/>
      <c r="W81" s="123"/>
      <c r="X81" s="123"/>
      <c r="Y81" s="123"/>
      <c r="Z81" s="124"/>
      <c r="AA81" s="123"/>
      <c r="AB81" s="123"/>
      <c r="AC81" s="123"/>
      <c r="AD81" s="125"/>
    </row>
    <row r="82" spans="1:30" x14ac:dyDescent="0.3">
      <c r="A82" s="127"/>
      <c r="B82" s="128"/>
      <c r="C82" s="128"/>
      <c r="D82" s="128"/>
      <c r="E82" s="128"/>
      <c r="F82" s="129"/>
      <c r="G82" s="128"/>
      <c r="H82" s="128"/>
      <c r="I82" s="128"/>
      <c r="J82" s="128"/>
      <c r="K82" s="128"/>
      <c r="L82" s="128"/>
      <c r="M82" s="128"/>
      <c r="N82" s="129"/>
      <c r="O82" s="82"/>
      <c r="P82" s="128"/>
      <c r="Q82" s="128"/>
      <c r="R82" s="128"/>
      <c r="S82" s="128"/>
      <c r="T82" s="128"/>
      <c r="U82" s="128"/>
      <c r="V82" s="123"/>
      <c r="W82" s="123"/>
      <c r="X82" s="123"/>
      <c r="Y82" s="123"/>
      <c r="Z82" s="124"/>
      <c r="AA82" s="123"/>
      <c r="AB82" s="123"/>
      <c r="AC82" s="123"/>
      <c r="AD82" s="125"/>
    </row>
    <row r="83" spans="1:30" x14ac:dyDescent="0.3">
      <c r="A83" s="127"/>
      <c r="B83" s="128"/>
      <c r="C83" s="128"/>
      <c r="D83" s="128"/>
      <c r="E83" s="128"/>
      <c r="F83" s="129"/>
      <c r="G83" s="128"/>
      <c r="H83" s="128"/>
      <c r="I83" s="128"/>
      <c r="J83" s="128"/>
      <c r="K83" s="128"/>
      <c r="L83" s="128"/>
      <c r="M83" s="128"/>
      <c r="N83" s="129"/>
      <c r="O83" s="82"/>
      <c r="P83" s="128"/>
      <c r="Q83" s="128"/>
      <c r="R83" s="128"/>
      <c r="S83" s="128"/>
      <c r="T83" s="128"/>
      <c r="U83" s="128"/>
      <c r="V83" s="123"/>
      <c r="W83" s="123"/>
      <c r="X83" s="123"/>
      <c r="Y83" s="123"/>
      <c r="Z83" s="124"/>
      <c r="AA83" s="123"/>
      <c r="AB83" s="123"/>
      <c r="AC83" s="123"/>
      <c r="AD83" s="125"/>
    </row>
    <row r="84" spans="1:30" x14ac:dyDescent="0.3">
      <c r="A84" s="127"/>
      <c r="B84" s="128"/>
      <c r="C84" s="128"/>
      <c r="D84" s="128"/>
      <c r="E84" s="128"/>
      <c r="F84" s="129"/>
      <c r="G84" s="128"/>
      <c r="H84" s="128"/>
      <c r="I84" s="128"/>
      <c r="J84" s="128"/>
      <c r="K84" s="128"/>
      <c r="L84" s="128"/>
      <c r="M84" s="128"/>
      <c r="N84" s="129"/>
      <c r="O84" s="82"/>
      <c r="P84" s="128"/>
      <c r="Q84" s="128"/>
      <c r="R84" s="128"/>
      <c r="S84" s="128"/>
      <c r="T84" s="128"/>
      <c r="U84" s="128"/>
      <c r="V84" s="123"/>
      <c r="W84" s="123"/>
      <c r="X84" s="123"/>
      <c r="Y84" s="123"/>
      <c r="Z84" s="124"/>
      <c r="AA84" s="123"/>
      <c r="AB84" s="123"/>
      <c r="AC84" s="123"/>
      <c r="AD84" s="125"/>
    </row>
    <row r="85" spans="1:30" x14ac:dyDescent="0.3">
      <c r="A85" s="127"/>
      <c r="B85" s="128"/>
      <c r="C85" s="128"/>
      <c r="D85" s="128"/>
      <c r="E85" s="128"/>
      <c r="F85" s="129"/>
      <c r="G85" s="128"/>
      <c r="H85" s="128"/>
      <c r="I85" s="128"/>
      <c r="J85" s="128"/>
      <c r="K85" s="128"/>
      <c r="L85" s="128"/>
      <c r="M85" s="128"/>
      <c r="N85" s="129"/>
      <c r="O85" s="82"/>
      <c r="P85" s="128"/>
      <c r="Q85" s="128"/>
      <c r="R85" s="128"/>
      <c r="S85" s="128"/>
      <c r="T85" s="128"/>
      <c r="U85" s="128"/>
      <c r="V85" s="123"/>
      <c r="W85" s="123"/>
      <c r="X85" s="123"/>
      <c r="Y85" s="123"/>
      <c r="Z85" s="124"/>
      <c r="AA85" s="123"/>
      <c r="AB85" s="123"/>
      <c r="AC85" s="123"/>
      <c r="AD85" s="125"/>
    </row>
    <row r="86" spans="1:30" x14ac:dyDescent="0.3">
      <c r="A86" s="127"/>
      <c r="B86" s="128"/>
      <c r="C86" s="128"/>
      <c r="D86" s="128"/>
      <c r="E86" s="128"/>
      <c r="F86" s="129"/>
      <c r="G86" s="128"/>
      <c r="H86" s="128"/>
      <c r="I86" s="128"/>
      <c r="J86" s="128"/>
      <c r="K86" s="128"/>
      <c r="L86" s="128"/>
      <c r="M86" s="128"/>
      <c r="N86" s="129"/>
      <c r="O86" s="82"/>
      <c r="P86" s="128"/>
      <c r="Q86" s="128"/>
      <c r="R86" s="128"/>
      <c r="S86" s="128"/>
      <c r="T86" s="128"/>
      <c r="U86" s="128"/>
      <c r="V86" s="123"/>
      <c r="W86" s="123"/>
      <c r="X86" s="123"/>
      <c r="Y86" s="123"/>
      <c r="Z86" s="124"/>
      <c r="AA86" s="123"/>
      <c r="AB86" s="123"/>
      <c r="AC86" s="123"/>
      <c r="AD86" s="125"/>
    </row>
    <row r="87" spans="1:30" x14ac:dyDescent="0.3">
      <c r="A87" s="127"/>
      <c r="B87" s="128"/>
      <c r="C87" s="128"/>
      <c r="D87" s="128"/>
      <c r="E87" s="128"/>
      <c r="F87" s="129"/>
      <c r="G87" s="128"/>
      <c r="H87" s="128"/>
      <c r="I87" s="128"/>
      <c r="J87" s="128"/>
      <c r="K87" s="128"/>
      <c r="L87" s="128"/>
      <c r="M87" s="128"/>
      <c r="N87" s="129"/>
      <c r="O87" s="82"/>
      <c r="P87" s="128"/>
      <c r="Q87" s="128"/>
      <c r="R87" s="128"/>
      <c r="S87" s="128"/>
      <c r="T87" s="128"/>
      <c r="U87" s="128"/>
      <c r="V87" s="123"/>
      <c r="W87" s="123"/>
      <c r="X87" s="123"/>
      <c r="Y87" s="123"/>
      <c r="Z87" s="124"/>
      <c r="AA87" s="123"/>
      <c r="AB87" s="123"/>
      <c r="AC87" s="123"/>
      <c r="AD87" s="125"/>
    </row>
    <row r="88" spans="1:30" x14ac:dyDescent="0.3">
      <c r="A88" s="127"/>
      <c r="B88" s="128"/>
      <c r="C88" s="128"/>
      <c r="D88" s="128"/>
      <c r="E88" s="128"/>
      <c r="F88" s="129"/>
      <c r="G88" s="128"/>
      <c r="H88" s="128"/>
      <c r="I88" s="128"/>
      <c r="J88" s="128"/>
      <c r="K88" s="128"/>
      <c r="L88" s="128"/>
      <c r="M88" s="128"/>
      <c r="N88" s="129"/>
      <c r="O88" s="82"/>
      <c r="P88" s="128"/>
      <c r="Q88" s="128"/>
      <c r="R88" s="128"/>
      <c r="S88" s="128"/>
      <c r="T88" s="128"/>
      <c r="U88" s="128"/>
      <c r="V88" s="123"/>
      <c r="W88" s="123"/>
      <c r="X88" s="123"/>
      <c r="Y88" s="123"/>
      <c r="Z88" s="124"/>
      <c r="AA88" s="123"/>
      <c r="AB88" s="123"/>
      <c r="AC88" s="123"/>
      <c r="AD88" s="125"/>
    </row>
    <row r="89" spans="1:30" x14ac:dyDescent="0.3">
      <c r="A89" s="127"/>
      <c r="B89" s="128"/>
      <c r="C89" s="128"/>
      <c r="D89" s="128"/>
      <c r="E89" s="128"/>
      <c r="F89" s="129"/>
      <c r="G89" s="128"/>
      <c r="H89" s="128"/>
      <c r="I89" s="128"/>
      <c r="J89" s="128"/>
      <c r="K89" s="128"/>
      <c r="L89" s="128"/>
      <c r="M89" s="128"/>
      <c r="N89" s="129"/>
      <c r="O89" s="82"/>
      <c r="P89" s="128"/>
      <c r="Q89" s="128"/>
      <c r="R89" s="128"/>
      <c r="S89" s="128"/>
      <c r="T89" s="128"/>
      <c r="U89" s="128"/>
      <c r="V89" s="123"/>
      <c r="W89" s="123"/>
      <c r="X89" s="123"/>
      <c r="Y89" s="123"/>
      <c r="Z89" s="124"/>
      <c r="AA89" s="123"/>
      <c r="AB89" s="123"/>
      <c r="AC89" s="123"/>
      <c r="AD89" s="125"/>
    </row>
    <row r="90" spans="1:30" x14ac:dyDescent="0.3">
      <c r="A90" s="127"/>
      <c r="B90" s="128"/>
      <c r="C90" s="128"/>
      <c r="D90" s="128"/>
      <c r="E90" s="128"/>
      <c r="F90" s="129"/>
      <c r="G90" s="128"/>
      <c r="H90" s="128"/>
      <c r="I90" s="128"/>
      <c r="J90" s="128"/>
      <c r="K90" s="128"/>
      <c r="L90" s="128"/>
      <c r="M90" s="128"/>
      <c r="N90" s="129"/>
      <c r="O90" s="82"/>
      <c r="P90" s="128"/>
      <c r="Q90" s="128"/>
      <c r="R90" s="128"/>
      <c r="S90" s="128"/>
      <c r="T90" s="128"/>
      <c r="U90" s="128"/>
      <c r="V90" s="123"/>
      <c r="W90" s="123"/>
      <c r="X90" s="123"/>
      <c r="Y90" s="123"/>
      <c r="Z90" s="124"/>
      <c r="AA90" s="123"/>
      <c r="AB90" s="123"/>
      <c r="AC90" s="123"/>
      <c r="AD90" s="125"/>
    </row>
    <row r="91" spans="1:30" x14ac:dyDescent="0.3">
      <c r="A91" s="127"/>
      <c r="B91" s="128"/>
      <c r="C91" s="128"/>
      <c r="D91" s="128"/>
      <c r="E91" s="128"/>
      <c r="F91" s="129"/>
      <c r="G91" s="128"/>
      <c r="H91" s="128"/>
      <c r="I91" s="128"/>
      <c r="J91" s="128"/>
      <c r="K91" s="128"/>
      <c r="L91" s="128"/>
      <c r="M91" s="128"/>
      <c r="N91" s="129"/>
      <c r="O91" s="82"/>
      <c r="P91" s="128"/>
      <c r="Q91" s="128"/>
      <c r="R91" s="128"/>
      <c r="S91" s="128"/>
      <c r="T91" s="128"/>
      <c r="U91" s="128"/>
      <c r="V91" s="123"/>
      <c r="W91" s="123"/>
      <c r="X91" s="123"/>
      <c r="Y91" s="123"/>
      <c r="Z91" s="124"/>
      <c r="AA91" s="123"/>
      <c r="AB91" s="123"/>
      <c r="AC91" s="123"/>
      <c r="AD91" s="125"/>
    </row>
    <row r="92" spans="1:30" x14ac:dyDescent="0.3">
      <c r="A92" s="127"/>
      <c r="B92" s="128"/>
      <c r="C92" s="128"/>
      <c r="D92" s="128"/>
      <c r="E92" s="128"/>
      <c r="F92" s="129"/>
      <c r="G92" s="128"/>
      <c r="H92" s="128"/>
      <c r="I92" s="128"/>
      <c r="J92" s="128"/>
      <c r="K92" s="128"/>
      <c r="L92" s="128"/>
      <c r="M92" s="128"/>
      <c r="N92" s="129"/>
      <c r="O92" s="82"/>
      <c r="P92" s="128"/>
      <c r="Q92" s="128"/>
      <c r="R92" s="128"/>
      <c r="S92" s="128"/>
      <c r="T92" s="128"/>
      <c r="U92" s="128"/>
      <c r="V92" s="123"/>
      <c r="W92" s="123"/>
      <c r="X92" s="123"/>
      <c r="Y92" s="123"/>
      <c r="Z92" s="124"/>
      <c r="AA92" s="123"/>
      <c r="AB92" s="123"/>
      <c r="AC92" s="123"/>
      <c r="AD92" s="125"/>
    </row>
    <row r="93" spans="1:30" x14ac:dyDescent="0.3">
      <c r="A93" s="127"/>
      <c r="B93" s="128"/>
      <c r="C93" s="128"/>
      <c r="D93" s="128"/>
      <c r="E93" s="128"/>
      <c r="F93" s="129"/>
      <c r="G93" s="128"/>
      <c r="H93" s="128"/>
      <c r="I93" s="128"/>
      <c r="J93" s="128"/>
      <c r="K93" s="128"/>
      <c r="L93" s="128"/>
      <c r="M93" s="128"/>
      <c r="N93" s="129"/>
      <c r="O93" s="82"/>
      <c r="P93" s="128"/>
      <c r="Q93" s="128"/>
      <c r="R93" s="128"/>
      <c r="S93" s="128"/>
      <c r="T93" s="128"/>
      <c r="U93" s="128"/>
      <c r="V93" s="123"/>
      <c r="W93" s="123"/>
      <c r="X93" s="123"/>
      <c r="Y93" s="123"/>
      <c r="Z93" s="124"/>
      <c r="AA93" s="123"/>
      <c r="AB93" s="123"/>
      <c r="AC93" s="123"/>
      <c r="AD93" s="125"/>
    </row>
    <row r="94" spans="1:30" x14ac:dyDescent="0.3">
      <c r="A94" s="127"/>
      <c r="B94" s="128"/>
      <c r="C94" s="128"/>
      <c r="D94" s="128"/>
      <c r="E94" s="128"/>
      <c r="F94" s="129"/>
      <c r="G94" s="128"/>
      <c r="H94" s="128"/>
      <c r="I94" s="128"/>
      <c r="J94" s="128"/>
      <c r="K94" s="128"/>
      <c r="L94" s="128"/>
      <c r="M94" s="128"/>
      <c r="N94" s="129"/>
      <c r="O94" s="82"/>
      <c r="P94" s="128"/>
      <c r="Q94" s="128"/>
      <c r="R94" s="128"/>
      <c r="S94" s="128"/>
      <c r="T94" s="128"/>
      <c r="U94" s="128"/>
      <c r="V94" s="123"/>
      <c r="W94" s="123"/>
      <c r="X94" s="123"/>
      <c r="Y94" s="123"/>
      <c r="Z94" s="124"/>
      <c r="AA94" s="123"/>
      <c r="AB94" s="123"/>
      <c r="AC94" s="123"/>
      <c r="AD94" s="125"/>
    </row>
    <row r="95" spans="1:30" x14ac:dyDescent="0.3">
      <c r="A95" s="127"/>
      <c r="B95" s="128"/>
      <c r="C95" s="128"/>
      <c r="D95" s="128"/>
      <c r="E95" s="128"/>
      <c r="F95" s="129"/>
      <c r="G95" s="128"/>
      <c r="H95" s="128"/>
      <c r="I95" s="128"/>
      <c r="J95" s="128"/>
      <c r="K95" s="128"/>
      <c r="L95" s="128"/>
      <c r="M95" s="128"/>
      <c r="N95" s="129"/>
      <c r="O95" s="82"/>
      <c r="P95" s="128"/>
      <c r="Q95" s="128"/>
      <c r="R95" s="128"/>
      <c r="S95" s="128"/>
      <c r="T95" s="128"/>
      <c r="U95" s="128"/>
      <c r="V95" s="123"/>
      <c r="W95" s="123"/>
      <c r="X95" s="123"/>
      <c r="Y95" s="123"/>
      <c r="Z95" s="124"/>
      <c r="AA95" s="123"/>
      <c r="AB95" s="123"/>
      <c r="AC95" s="123"/>
      <c r="AD95" s="125"/>
    </row>
    <row r="96" spans="1:30" x14ac:dyDescent="0.3">
      <c r="A96" s="127"/>
      <c r="B96" s="128"/>
      <c r="C96" s="128"/>
      <c r="D96" s="128"/>
      <c r="E96" s="128"/>
      <c r="F96" s="129"/>
      <c r="G96" s="128"/>
      <c r="H96" s="128"/>
      <c r="I96" s="128"/>
      <c r="J96" s="128"/>
      <c r="K96" s="128"/>
      <c r="L96" s="128"/>
      <c r="M96" s="128"/>
      <c r="N96" s="129"/>
      <c r="O96" s="82"/>
      <c r="P96" s="128"/>
      <c r="Q96" s="128"/>
      <c r="R96" s="128"/>
      <c r="S96" s="128"/>
      <c r="T96" s="128"/>
      <c r="U96" s="128"/>
      <c r="V96" s="123"/>
      <c r="W96" s="123"/>
      <c r="X96" s="123"/>
      <c r="Y96" s="123"/>
      <c r="Z96" s="124"/>
      <c r="AA96" s="123"/>
      <c r="AB96" s="123"/>
      <c r="AC96" s="123"/>
      <c r="AD96" s="125"/>
    </row>
    <row r="97" spans="1:30" x14ac:dyDescent="0.3">
      <c r="A97" s="127"/>
      <c r="B97" s="128"/>
      <c r="C97" s="128"/>
      <c r="D97" s="128"/>
      <c r="E97" s="128"/>
      <c r="F97" s="129"/>
      <c r="G97" s="128"/>
      <c r="H97" s="128"/>
      <c r="I97" s="128"/>
      <c r="J97" s="128"/>
      <c r="K97" s="128"/>
      <c r="L97" s="128"/>
      <c r="M97" s="128"/>
      <c r="N97" s="129"/>
      <c r="O97" s="82"/>
      <c r="P97" s="128"/>
      <c r="Q97" s="128"/>
      <c r="R97" s="128"/>
      <c r="S97" s="128"/>
      <c r="T97" s="128"/>
      <c r="U97" s="128"/>
      <c r="V97" s="123"/>
      <c r="W97" s="123"/>
      <c r="X97" s="123"/>
      <c r="Y97" s="123"/>
      <c r="Z97" s="124"/>
      <c r="AA97" s="123"/>
      <c r="AB97" s="123"/>
      <c r="AC97" s="123"/>
      <c r="AD97" s="125"/>
    </row>
    <row r="98" spans="1:30" x14ac:dyDescent="0.3">
      <c r="A98" s="127"/>
      <c r="B98" s="128"/>
      <c r="C98" s="128"/>
      <c r="D98" s="128"/>
      <c r="E98" s="128"/>
      <c r="F98" s="129"/>
      <c r="G98" s="128"/>
      <c r="H98" s="128"/>
      <c r="I98" s="128"/>
      <c r="J98" s="128"/>
      <c r="K98" s="128"/>
      <c r="L98" s="128"/>
      <c r="M98" s="128"/>
      <c r="N98" s="129"/>
      <c r="O98" s="82"/>
      <c r="P98" s="128"/>
      <c r="Q98" s="128"/>
      <c r="R98" s="128"/>
      <c r="S98" s="128"/>
      <c r="T98" s="128"/>
      <c r="U98" s="128"/>
      <c r="V98" s="123"/>
      <c r="W98" s="123"/>
      <c r="X98" s="123"/>
      <c r="Y98" s="123"/>
      <c r="Z98" s="124"/>
      <c r="AA98" s="123"/>
      <c r="AB98" s="123"/>
      <c r="AC98" s="123"/>
      <c r="AD98" s="125"/>
    </row>
    <row r="99" spans="1:30" x14ac:dyDescent="0.3">
      <c r="A99" s="127"/>
      <c r="B99" s="128"/>
      <c r="C99" s="128"/>
      <c r="D99" s="128"/>
      <c r="E99" s="128"/>
      <c r="F99" s="129"/>
      <c r="G99" s="128"/>
      <c r="H99" s="128"/>
      <c r="I99" s="128"/>
      <c r="J99" s="128"/>
      <c r="K99" s="128"/>
      <c r="L99" s="128"/>
      <c r="M99" s="128"/>
      <c r="N99" s="129"/>
      <c r="O99" s="82"/>
      <c r="P99" s="128"/>
      <c r="Q99" s="128"/>
      <c r="R99" s="128"/>
      <c r="S99" s="128"/>
      <c r="T99" s="128"/>
      <c r="U99" s="128"/>
      <c r="V99" s="123"/>
      <c r="W99" s="123"/>
      <c r="X99" s="123"/>
      <c r="Y99" s="123"/>
      <c r="Z99" s="124"/>
      <c r="AA99" s="123"/>
      <c r="AB99" s="123"/>
      <c r="AC99" s="123"/>
      <c r="AD99" s="125"/>
    </row>
    <row r="100" spans="1:30" x14ac:dyDescent="0.3">
      <c r="A100" s="127"/>
      <c r="B100" s="128"/>
      <c r="C100" s="128"/>
      <c r="D100" s="128"/>
      <c r="E100" s="128"/>
      <c r="F100" s="129"/>
      <c r="G100" s="128"/>
      <c r="H100" s="128"/>
      <c r="I100" s="128"/>
      <c r="J100" s="128"/>
      <c r="K100" s="128"/>
      <c r="L100" s="128"/>
      <c r="M100" s="128"/>
      <c r="N100" s="129"/>
      <c r="O100" s="82"/>
      <c r="P100" s="128"/>
      <c r="Q100" s="128"/>
      <c r="R100" s="128"/>
      <c r="S100" s="128"/>
      <c r="T100" s="128"/>
      <c r="U100" s="128"/>
      <c r="V100" s="123"/>
      <c r="W100" s="123"/>
      <c r="X100" s="123"/>
      <c r="Y100" s="123"/>
      <c r="Z100" s="124"/>
      <c r="AA100" s="123"/>
      <c r="AB100" s="123"/>
      <c r="AC100" s="123"/>
      <c r="AD100" s="125"/>
    </row>
    <row r="101" spans="1:30" x14ac:dyDescent="0.3">
      <c r="A101" s="127"/>
      <c r="B101" s="128"/>
      <c r="C101" s="128"/>
      <c r="D101" s="128"/>
      <c r="E101" s="128"/>
      <c r="F101" s="129"/>
      <c r="G101" s="128"/>
      <c r="H101" s="128"/>
      <c r="I101" s="128"/>
      <c r="J101" s="128"/>
      <c r="K101" s="128"/>
      <c r="L101" s="128"/>
      <c r="M101" s="128"/>
      <c r="N101" s="129"/>
      <c r="O101" s="82"/>
      <c r="P101" s="128"/>
      <c r="Q101" s="128"/>
      <c r="R101" s="128"/>
      <c r="S101" s="128"/>
      <c r="T101" s="128"/>
      <c r="U101" s="128"/>
      <c r="V101" s="123"/>
      <c r="W101" s="123"/>
      <c r="X101" s="123"/>
      <c r="Y101" s="123"/>
      <c r="Z101" s="124"/>
      <c r="AA101" s="123"/>
      <c r="AB101" s="123"/>
      <c r="AC101" s="123"/>
      <c r="AD101" s="125"/>
    </row>
    <row r="102" spans="1:30" x14ac:dyDescent="0.3">
      <c r="A102" s="127"/>
      <c r="B102" s="128"/>
      <c r="C102" s="128"/>
      <c r="D102" s="128"/>
      <c r="E102" s="128"/>
      <c r="F102" s="129"/>
      <c r="G102" s="128"/>
      <c r="H102" s="128"/>
      <c r="I102" s="128"/>
      <c r="J102" s="128"/>
      <c r="K102" s="128"/>
      <c r="L102" s="128"/>
      <c r="M102" s="128"/>
      <c r="N102" s="129"/>
      <c r="O102" s="82"/>
      <c r="P102" s="128"/>
      <c r="Q102" s="128"/>
      <c r="R102" s="128"/>
      <c r="S102" s="128"/>
      <c r="T102" s="128"/>
      <c r="U102" s="128"/>
      <c r="V102" s="123"/>
      <c r="W102" s="123"/>
      <c r="X102" s="123"/>
      <c r="Y102" s="123"/>
      <c r="Z102" s="124"/>
      <c r="AA102" s="123"/>
      <c r="AB102" s="123"/>
      <c r="AC102" s="123"/>
      <c r="AD102" s="125"/>
    </row>
    <row r="103" spans="1:30" x14ac:dyDescent="0.3">
      <c r="A103" s="127"/>
      <c r="B103" s="128"/>
      <c r="C103" s="128"/>
      <c r="D103" s="128"/>
      <c r="E103" s="128"/>
      <c r="F103" s="129"/>
      <c r="G103" s="128"/>
      <c r="H103" s="128"/>
      <c r="I103" s="128"/>
      <c r="J103" s="128"/>
      <c r="K103" s="128"/>
      <c r="L103" s="128"/>
      <c r="M103" s="128"/>
      <c r="N103" s="129"/>
      <c r="O103" s="82"/>
      <c r="P103" s="128"/>
      <c r="Q103" s="128"/>
      <c r="R103" s="128"/>
      <c r="S103" s="128"/>
      <c r="T103" s="128"/>
      <c r="U103" s="128"/>
      <c r="V103" s="123"/>
      <c r="W103" s="123"/>
      <c r="X103" s="123"/>
      <c r="Y103" s="123"/>
      <c r="Z103" s="124"/>
      <c r="AA103" s="123"/>
      <c r="AB103" s="123"/>
      <c r="AC103" s="123"/>
      <c r="AD103" s="125"/>
    </row>
    <row r="104" spans="1:30" x14ac:dyDescent="0.3">
      <c r="A104" s="127"/>
      <c r="B104" s="128"/>
      <c r="C104" s="128"/>
      <c r="D104" s="128"/>
      <c r="E104" s="128"/>
      <c r="F104" s="129"/>
      <c r="G104" s="128"/>
      <c r="H104" s="128"/>
      <c r="I104" s="128"/>
      <c r="J104" s="128"/>
      <c r="K104" s="128"/>
      <c r="L104" s="128"/>
      <c r="M104" s="128"/>
      <c r="N104" s="129"/>
      <c r="O104" s="82"/>
      <c r="P104" s="128"/>
      <c r="Q104" s="128"/>
      <c r="R104" s="128"/>
      <c r="S104" s="128"/>
      <c r="T104" s="128"/>
      <c r="U104" s="128"/>
      <c r="V104" s="123"/>
      <c r="W104" s="123"/>
      <c r="X104" s="123"/>
      <c r="Y104" s="123"/>
      <c r="Z104" s="124"/>
      <c r="AA104" s="123"/>
      <c r="AB104" s="123"/>
      <c r="AC104" s="123"/>
      <c r="AD104" s="125"/>
    </row>
    <row r="105" spans="1:30" x14ac:dyDescent="0.3">
      <c r="A105" s="127"/>
      <c r="B105" s="128"/>
      <c r="C105" s="128"/>
      <c r="D105" s="128"/>
      <c r="E105" s="128"/>
      <c r="F105" s="129"/>
      <c r="G105" s="128"/>
      <c r="H105" s="128"/>
      <c r="I105" s="128"/>
      <c r="J105" s="128"/>
      <c r="K105" s="128"/>
      <c r="L105" s="128"/>
      <c r="M105" s="128"/>
      <c r="N105" s="129"/>
      <c r="O105" s="82"/>
      <c r="P105" s="128"/>
      <c r="Q105" s="128"/>
      <c r="R105" s="128"/>
      <c r="S105" s="128"/>
      <c r="T105" s="128"/>
      <c r="U105" s="128"/>
      <c r="V105" s="123"/>
      <c r="W105" s="123"/>
      <c r="X105" s="123"/>
      <c r="Y105" s="123"/>
      <c r="Z105" s="124"/>
      <c r="AA105" s="123"/>
      <c r="AB105" s="123"/>
      <c r="AC105" s="123"/>
      <c r="AD105" s="125"/>
    </row>
    <row r="106" spans="1:30" x14ac:dyDescent="0.3">
      <c r="A106" s="127"/>
      <c r="B106" s="128"/>
      <c r="C106" s="128"/>
      <c r="D106" s="128"/>
      <c r="E106" s="128"/>
      <c r="F106" s="129"/>
      <c r="G106" s="128"/>
      <c r="H106" s="128"/>
      <c r="I106" s="128"/>
      <c r="J106" s="128"/>
      <c r="K106" s="128"/>
      <c r="L106" s="128"/>
      <c r="M106" s="128"/>
      <c r="N106" s="129"/>
      <c r="O106" s="82"/>
      <c r="P106" s="128"/>
      <c r="Q106" s="128"/>
      <c r="R106" s="128"/>
      <c r="S106" s="128"/>
      <c r="T106" s="128"/>
      <c r="U106" s="128"/>
      <c r="V106" s="123"/>
      <c r="W106" s="123"/>
      <c r="X106" s="123"/>
      <c r="Y106" s="123"/>
      <c r="Z106" s="124"/>
      <c r="AA106" s="123"/>
      <c r="AB106" s="123"/>
      <c r="AC106" s="123"/>
      <c r="AD106" s="125"/>
    </row>
    <row r="107" spans="1:30" x14ac:dyDescent="0.3">
      <c r="A107" s="127"/>
      <c r="B107" s="128"/>
      <c r="C107" s="128"/>
      <c r="D107" s="128"/>
      <c r="E107" s="128"/>
      <c r="F107" s="129"/>
      <c r="G107" s="128"/>
      <c r="H107" s="128"/>
      <c r="I107" s="128"/>
      <c r="J107" s="128"/>
      <c r="K107" s="128"/>
      <c r="L107" s="128"/>
      <c r="M107" s="128"/>
      <c r="N107" s="129"/>
      <c r="O107" s="82"/>
      <c r="P107" s="128"/>
      <c r="Q107" s="128"/>
      <c r="R107" s="128"/>
      <c r="S107" s="128"/>
      <c r="T107" s="128"/>
      <c r="U107" s="128"/>
      <c r="V107" s="123"/>
      <c r="W107" s="123"/>
      <c r="X107" s="123"/>
      <c r="Y107" s="123"/>
      <c r="Z107" s="124"/>
      <c r="AA107" s="123"/>
      <c r="AB107" s="123"/>
      <c r="AC107" s="123"/>
      <c r="AD107" s="125"/>
    </row>
    <row r="108" spans="1:30" x14ac:dyDescent="0.3">
      <c r="A108" s="127"/>
      <c r="B108" s="128"/>
      <c r="C108" s="128"/>
      <c r="D108" s="128"/>
      <c r="E108" s="128"/>
      <c r="F108" s="129"/>
      <c r="G108" s="128"/>
      <c r="H108" s="128"/>
      <c r="I108" s="128"/>
      <c r="J108" s="128"/>
      <c r="K108" s="128"/>
      <c r="L108" s="128"/>
      <c r="M108" s="128"/>
      <c r="N108" s="129"/>
      <c r="O108" s="82"/>
      <c r="P108" s="128"/>
      <c r="Q108" s="128"/>
      <c r="R108" s="128"/>
      <c r="S108" s="128"/>
      <c r="T108" s="128"/>
      <c r="U108" s="128"/>
      <c r="V108" s="123"/>
      <c r="W108" s="123"/>
      <c r="X108" s="123"/>
      <c r="Y108" s="123"/>
      <c r="Z108" s="124"/>
      <c r="AA108" s="123"/>
      <c r="AB108" s="123"/>
      <c r="AC108" s="123"/>
      <c r="AD108" s="125"/>
    </row>
    <row r="109" spans="1:30" x14ac:dyDescent="0.3">
      <c r="A109" s="127"/>
      <c r="B109" s="128"/>
      <c r="C109" s="128"/>
      <c r="D109" s="128"/>
      <c r="E109" s="128"/>
      <c r="F109" s="129"/>
      <c r="G109" s="128"/>
      <c r="H109" s="128"/>
      <c r="I109" s="128"/>
      <c r="J109" s="128"/>
      <c r="K109" s="128"/>
      <c r="L109" s="128"/>
      <c r="M109" s="128"/>
      <c r="N109" s="129"/>
      <c r="O109" s="82"/>
      <c r="P109" s="128"/>
      <c r="Q109" s="128"/>
      <c r="R109" s="128"/>
      <c r="S109" s="128"/>
      <c r="T109" s="128"/>
      <c r="U109" s="128"/>
      <c r="V109" s="123"/>
      <c r="W109" s="123"/>
      <c r="X109" s="123"/>
      <c r="Y109" s="123"/>
      <c r="Z109" s="124"/>
      <c r="AA109" s="123"/>
      <c r="AB109" s="123"/>
      <c r="AC109" s="123"/>
      <c r="AD109" s="125"/>
    </row>
    <row r="110" spans="1:30" x14ac:dyDescent="0.3">
      <c r="A110" s="73"/>
      <c r="B110" s="73"/>
      <c r="C110" s="73"/>
      <c r="D110" s="73"/>
      <c r="E110" s="73"/>
      <c r="F110" s="73"/>
      <c r="G110" s="73"/>
      <c r="H110" s="73"/>
      <c r="I110" s="73"/>
      <c r="J110" s="73"/>
      <c r="K110" s="73"/>
      <c r="L110" s="73"/>
      <c r="M110" s="73"/>
      <c r="N110" s="73"/>
      <c r="O110" s="73"/>
      <c r="P110" s="73"/>
      <c r="Q110" s="73"/>
      <c r="R110" s="73"/>
      <c r="S110" s="73"/>
      <c r="T110" s="73"/>
      <c r="U110" s="73"/>
      <c r="V110" s="73"/>
      <c r="W110" s="73"/>
      <c r="X110" s="73"/>
      <c r="Y110" s="73"/>
      <c r="Z110" s="73"/>
      <c r="AA110" s="73"/>
      <c r="AB110" s="73"/>
      <c r="AC110" s="73"/>
      <c r="AD110" s="73"/>
    </row>
    <row r="111" spans="1:30" x14ac:dyDescent="0.3">
      <c r="A111" s="73"/>
      <c r="B111" s="73"/>
      <c r="C111" s="73"/>
      <c r="D111" s="73"/>
      <c r="E111" s="73"/>
      <c r="F111" s="73"/>
      <c r="G111" s="73"/>
      <c r="H111" s="73"/>
      <c r="I111" s="73"/>
      <c r="J111" s="73"/>
      <c r="K111" s="73"/>
      <c r="L111" s="73"/>
      <c r="M111" s="73"/>
      <c r="N111" s="73"/>
      <c r="O111" s="73"/>
      <c r="P111" s="73"/>
      <c r="Q111" s="73"/>
      <c r="R111" s="73"/>
      <c r="S111" s="73"/>
      <c r="T111" s="73"/>
      <c r="U111" s="73"/>
      <c r="V111" s="73"/>
      <c r="W111" s="73"/>
      <c r="X111" s="73"/>
      <c r="Y111" s="73"/>
      <c r="Z111" s="73"/>
      <c r="AA111" s="73"/>
      <c r="AB111" s="73"/>
      <c r="AC111" s="73"/>
      <c r="AD111" s="73"/>
    </row>
    <row r="112" spans="1:30" x14ac:dyDescent="0.3">
      <c r="A112" s="73"/>
      <c r="B112" s="73"/>
      <c r="C112" s="73"/>
      <c r="D112" s="73"/>
      <c r="E112" s="73"/>
      <c r="F112" s="73"/>
      <c r="G112" s="73"/>
      <c r="H112" s="73"/>
      <c r="I112" s="73"/>
      <c r="J112" s="73"/>
      <c r="K112" s="73"/>
      <c r="L112" s="73"/>
      <c r="M112" s="73"/>
      <c r="N112" s="73"/>
      <c r="O112" s="73"/>
      <c r="P112" s="73"/>
      <c r="Q112" s="73"/>
      <c r="R112" s="73"/>
      <c r="S112" s="73"/>
      <c r="T112" s="73"/>
      <c r="U112" s="73"/>
      <c r="V112" s="73"/>
      <c r="W112" s="73"/>
      <c r="X112" s="73"/>
      <c r="Y112" s="73"/>
      <c r="Z112" s="73"/>
      <c r="AA112" s="73"/>
      <c r="AB112" s="73"/>
      <c r="AC112" s="73"/>
      <c r="AD112" s="73"/>
    </row>
    <row r="113" spans="1:30" x14ac:dyDescent="0.3">
      <c r="A113" s="73"/>
      <c r="B113" s="73"/>
      <c r="C113" s="73"/>
      <c r="D113" s="73"/>
      <c r="E113" s="73"/>
      <c r="F113" s="73"/>
      <c r="G113" s="73"/>
      <c r="H113" s="73"/>
      <c r="I113" s="73"/>
      <c r="J113" s="73"/>
      <c r="K113" s="73"/>
      <c r="L113" s="73"/>
      <c r="M113" s="73"/>
      <c r="N113" s="73"/>
      <c r="O113" s="73"/>
      <c r="P113" s="73"/>
      <c r="Q113" s="73"/>
      <c r="R113" s="73"/>
      <c r="S113" s="73"/>
      <c r="T113" s="73"/>
      <c r="U113" s="73"/>
      <c r="V113" s="73"/>
      <c r="W113" s="73"/>
      <c r="X113" s="73"/>
      <c r="Y113" s="73"/>
      <c r="Z113" s="73"/>
      <c r="AA113" s="73"/>
      <c r="AB113" s="73"/>
      <c r="AC113" s="73"/>
      <c r="AD113" s="73"/>
    </row>
    <row r="114" spans="1:30" x14ac:dyDescent="0.3">
      <c r="A114" s="73"/>
      <c r="B114" s="73"/>
      <c r="C114" s="73"/>
      <c r="D114" s="73"/>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row>
  </sheetData>
  <autoFilter ref="A2:AD2"/>
  <mergeCells count="1">
    <mergeCell ref="A1:AD1"/>
  </mergeCells>
  <dataValidations count="2">
    <dataValidation type="list" allowBlank="1" showInputMessage="1" showErrorMessage="1" sqref="AB3:AC109">
      <formula1>"Yes, No"</formula1>
    </dataValidation>
    <dataValidation type="list" allowBlank="1" showInputMessage="1" showErrorMessage="1" sqref="O3:O109">
      <formula1>"numeric, non-numeric"</formula1>
    </dataValidation>
  </dataValidations>
  <hyperlinks>
    <hyperlink ref="AF1:AK1" r:id="rId1" display="Guide to NRCan's Bi-Annual PIP Updates"/>
  </hyperlinks>
  <pageMargins left="0.70866141732283472" right="0.70866141732283472" top="0.74803149606299213" bottom="0.74803149606299213" header="0.31496062992125984" footer="0.31496062992125984"/>
  <pageSetup scale="52" fitToHeight="0" orientation="landscape" r:id="rId2"/>
  <headerFooter>
    <oddHeader>&amp;C&amp;"-,Bold"PIP # - Program name - 2020-21 - Indicators &amp; Results</oddHeader>
    <oddFooter>&amp;R&amp;P</oddFooter>
  </headerFooter>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'Drop Downs'!$A$5:$A$12</xm:f>
          </x14:formula1>
          <xm:sqref>F3:F109</xm:sqref>
        </x14:dataValidation>
        <x14:dataValidation type="list" allowBlank="1" showInputMessage="1" showErrorMessage="1">
          <x14:formula1>
            <xm:f>'Drop Downs'!$A$17:$A$24</xm:f>
          </x14:formula1>
          <xm:sqref>N3:N109</xm:sqref>
        </x14:dataValidation>
        <x14:dataValidation type="list" allowBlank="1" showInputMessage="1" showErrorMessage="1">
          <x14:formula1>
            <xm:f>'Drop Downs'!$F$21:$F$24</xm:f>
          </x14:formula1>
          <xm:sqref>A3:A109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3" tint="-0.249977111117893"/>
  </sheetPr>
  <dimension ref="A1:P24"/>
  <sheetViews>
    <sheetView zoomScale="70" zoomScaleNormal="70" workbookViewId="0">
      <selection activeCell="P12" sqref="P12"/>
    </sheetView>
  </sheetViews>
  <sheetFormatPr defaultColWidth="8.6640625" defaultRowHeight="14.4" x14ac:dyDescent="0.3"/>
  <cols>
    <col min="1" max="1" width="8.6640625" style="80" customWidth="1"/>
    <col min="2" max="6" width="8.6640625" style="80"/>
    <col min="7" max="7" width="12.33203125" style="80" bestFit="1" customWidth="1"/>
    <col min="8" max="8" width="14.88671875" style="80" bestFit="1" customWidth="1"/>
    <col min="9" max="9" width="8.6640625" style="80"/>
    <col min="10" max="10" width="8.6640625" style="80" customWidth="1"/>
    <col min="11" max="11" width="8.6640625" style="80"/>
    <col min="12" max="12" width="14.88671875" style="80" customWidth="1"/>
    <col min="13" max="13" width="12.6640625" style="80" customWidth="1"/>
    <col min="14" max="14" width="14" style="80" customWidth="1"/>
    <col min="15" max="15" width="8.6640625" style="80"/>
    <col min="16" max="16" width="50.109375" style="80" customWidth="1"/>
    <col min="17" max="16384" width="8.6640625" style="80"/>
  </cols>
  <sheetData>
    <row r="1" spans="1:16" ht="24" customHeight="1" x14ac:dyDescent="0.3">
      <c r="A1" s="219" t="s">
        <v>465</v>
      </c>
      <c r="B1" s="220"/>
      <c r="C1" s="220"/>
      <c r="D1" s="220"/>
      <c r="E1" s="220"/>
      <c r="F1" s="220"/>
      <c r="G1" s="220"/>
      <c r="H1" s="220"/>
      <c r="I1" s="220"/>
      <c r="J1" s="220"/>
      <c r="K1" s="220"/>
      <c r="L1" s="220"/>
      <c r="M1" s="220"/>
      <c r="N1" s="220"/>
      <c r="O1" s="220"/>
      <c r="P1" s="220"/>
    </row>
    <row r="2" spans="1:16" ht="33.75" customHeight="1" x14ac:dyDescent="0.3">
      <c r="A2" s="221" t="s">
        <v>205</v>
      </c>
      <c r="B2" s="222"/>
      <c r="C2" s="222"/>
      <c r="D2" s="222"/>
      <c r="E2" s="222"/>
      <c r="F2" s="222"/>
      <c r="G2" s="222"/>
      <c r="H2" s="222"/>
      <c r="I2" s="222"/>
      <c r="J2" s="222"/>
      <c r="K2" s="222"/>
      <c r="L2" s="223"/>
      <c r="M2" s="217" t="s">
        <v>206</v>
      </c>
      <c r="N2" s="217"/>
      <c r="O2" s="217" t="s">
        <v>476</v>
      </c>
      <c r="P2" s="217"/>
    </row>
    <row r="3" spans="1:16" ht="15" customHeight="1" x14ac:dyDescent="0.3">
      <c r="A3" s="224" t="s">
        <v>466</v>
      </c>
      <c r="B3" s="225"/>
      <c r="C3" s="225"/>
      <c r="D3" s="225"/>
      <c r="E3" s="225"/>
      <c r="F3" s="225"/>
      <c r="G3" s="225"/>
      <c r="H3" s="225"/>
      <c r="I3" s="225"/>
      <c r="J3" s="225"/>
      <c r="K3" s="225"/>
      <c r="L3" s="226"/>
      <c r="M3" s="218"/>
      <c r="N3" s="218"/>
      <c r="O3" s="200"/>
      <c r="P3" s="200"/>
    </row>
    <row r="4" spans="1:16" x14ac:dyDescent="0.3">
      <c r="A4" s="211"/>
      <c r="B4" s="212"/>
      <c r="C4" s="212"/>
      <c r="D4" s="212"/>
      <c r="E4" s="212"/>
      <c r="F4" s="212"/>
      <c r="G4" s="212"/>
      <c r="H4" s="212"/>
      <c r="I4" s="212"/>
      <c r="J4" s="212"/>
      <c r="K4" s="212"/>
      <c r="L4" s="213"/>
      <c r="M4" s="200"/>
      <c r="N4" s="200"/>
      <c r="O4" s="200"/>
      <c r="P4" s="200"/>
    </row>
    <row r="5" spans="1:16" x14ac:dyDescent="0.3">
      <c r="A5" s="211"/>
      <c r="B5" s="212"/>
      <c r="C5" s="212"/>
      <c r="D5" s="212"/>
      <c r="E5" s="212"/>
      <c r="F5" s="212"/>
      <c r="G5" s="212"/>
      <c r="H5" s="212"/>
      <c r="I5" s="212"/>
      <c r="J5" s="212"/>
      <c r="K5" s="212"/>
      <c r="L5" s="213"/>
      <c r="M5" s="200"/>
      <c r="N5" s="200"/>
      <c r="O5" s="200"/>
      <c r="P5" s="200"/>
    </row>
    <row r="6" spans="1:16" x14ac:dyDescent="0.3">
      <c r="A6" s="211"/>
      <c r="B6" s="212"/>
      <c r="C6" s="212"/>
      <c r="D6" s="212"/>
      <c r="E6" s="212"/>
      <c r="F6" s="212"/>
      <c r="G6" s="212"/>
      <c r="H6" s="212"/>
      <c r="I6" s="212"/>
      <c r="J6" s="212"/>
      <c r="K6" s="212"/>
      <c r="L6" s="213"/>
      <c r="M6" s="200"/>
      <c r="N6" s="200"/>
      <c r="O6" s="200"/>
      <c r="P6" s="200"/>
    </row>
    <row r="7" spans="1:16" x14ac:dyDescent="0.3">
      <c r="A7" s="214"/>
      <c r="B7" s="215"/>
      <c r="C7" s="215"/>
      <c r="D7" s="215"/>
      <c r="E7" s="215"/>
      <c r="F7" s="215"/>
      <c r="G7" s="215"/>
      <c r="H7" s="215"/>
      <c r="I7" s="215"/>
      <c r="J7" s="215"/>
      <c r="K7" s="215"/>
      <c r="L7" s="216"/>
      <c r="M7" s="200"/>
      <c r="N7" s="200"/>
      <c r="O7" s="200"/>
      <c r="P7" s="200"/>
    </row>
    <row r="8" spans="1:16" x14ac:dyDescent="0.3">
      <c r="A8" s="78"/>
      <c r="B8" s="78"/>
      <c r="C8" s="78"/>
      <c r="D8" s="78"/>
      <c r="E8" s="78"/>
      <c r="F8" s="78"/>
      <c r="G8" s="78"/>
      <c r="H8" s="78"/>
      <c r="I8" s="78"/>
      <c r="J8" s="78"/>
      <c r="K8" s="78"/>
      <c r="L8" s="78"/>
      <c r="M8" s="78"/>
      <c r="N8" s="78"/>
    </row>
    <row r="9" spans="1:16" ht="42.75" customHeight="1" x14ac:dyDescent="0.5">
      <c r="A9" s="201" t="s">
        <v>479</v>
      </c>
      <c r="B9" s="202"/>
      <c r="C9" s="202"/>
      <c r="D9" s="202"/>
      <c r="E9" s="202"/>
      <c r="F9" s="202"/>
      <c r="G9" s="202"/>
      <c r="H9" s="202"/>
      <c r="I9" s="202"/>
      <c r="J9" s="202"/>
      <c r="K9" s="202"/>
      <c r="L9" s="202"/>
      <c r="M9" s="202"/>
      <c r="N9" s="202"/>
    </row>
    <row r="10" spans="1:16" ht="63" customHeight="1" x14ac:dyDescent="0.3">
      <c r="A10" s="103" t="s">
        <v>267</v>
      </c>
      <c r="B10" s="203" t="s">
        <v>268</v>
      </c>
      <c r="C10" s="204"/>
      <c r="D10" s="204"/>
      <c r="E10" s="205"/>
      <c r="F10" s="104" t="s">
        <v>269</v>
      </c>
      <c r="G10" s="206" t="s">
        <v>270</v>
      </c>
      <c r="H10" s="207"/>
      <c r="I10" s="207"/>
      <c r="J10" s="207"/>
      <c r="K10" s="207"/>
      <c r="L10" s="207"/>
      <c r="M10" s="105" t="s">
        <v>293</v>
      </c>
      <c r="N10" s="107" t="s">
        <v>271</v>
      </c>
    </row>
    <row r="11" spans="1:16" ht="38.25" customHeight="1" x14ac:dyDescent="0.3">
      <c r="A11" s="208" t="s">
        <v>451</v>
      </c>
      <c r="B11" s="208"/>
      <c r="C11" s="208"/>
      <c r="D11" s="208"/>
      <c r="E11" s="208"/>
      <c r="F11" s="208"/>
      <c r="G11" s="208"/>
      <c r="H11" s="208"/>
      <c r="I11" s="208"/>
      <c r="J11" s="208"/>
      <c r="K11" s="208"/>
      <c r="L11" s="208"/>
      <c r="M11" s="208"/>
      <c r="N11" s="208"/>
    </row>
    <row r="12" spans="1:16" ht="42" customHeight="1" x14ac:dyDescent="0.3">
      <c r="A12" s="106" t="s">
        <v>272</v>
      </c>
      <c r="B12" s="209" t="s">
        <v>273</v>
      </c>
      <c r="C12" s="209"/>
      <c r="D12" s="209"/>
      <c r="E12" s="209"/>
      <c r="F12" s="112" t="s">
        <v>274</v>
      </c>
      <c r="G12" s="210" t="s">
        <v>275</v>
      </c>
      <c r="H12" s="210"/>
      <c r="I12" s="210"/>
      <c r="J12" s="210"/>
      <c r="K12" s="210"/>
      <c r="L12" s="210"/>
      <c r="M12" s="110" t="s">
        <v>276</v>
      </c>
      <c r="N12" s="111">
        <v>43726</v>
      </c>
    </row>
    <row r="13" spans="1:16" ht="54.75" customHeight="1" x14ac:dyDescent="0.3">
      <c r="A13" s="106" t="s">
        <v>277</v>
      </c>
      <c r="B13" s="209" t="s">
        <v>278</v>
      </c>
      <c r="C13" s="209"/>
      <c r="D13" s="209"/>
      <c r="E13" s="209"/>
      <c r="F13" s="109"/>
      <c r="G13" s="191"/>
      <c r="H13" s="192"/>
      <c r="I13" s="192"/>
      <c r="J13" s="192"/>
      <c r="K13" s="192"/>
      <c r="L13" s="193"/>
      <c r="M13" s="108"/>
      <c r="N13" s="108"/>
    </row>
    <row r="14" spans="1:16" ht="70.5" customHeight="1" x14ac:dyDescent="0.3">
      <c r="A14" s="106" t="s">
        <v>279</v>
      </c>
      <c r="B14" s="194" t="s">
        <v>280</v>
      </c>
      <c r="C14" s="195"/>
      <c r="D14" s="195"/>
      <c r="E14" s="196"/>
      <c r="F14" s="109"/>
      <c r="G14" s="191"/>
      <c r="H14" s="192"/>
      <c r="I14" s="192"/>
      <c r="J14" s="192"/>
      <c r="K14" s="192"/>
      <c r="L14" s="193"/>
      <c r="M14" s="108"/>
      <c r="N14" s="108"/>
    </row>
    <row r="15" spans="1:16" ht="44.25" customHeight="1" x14ac:dyDescent="0.3">
      <c r="A15" s="106" t="s">
        <v>281</v>
      </c>
      <c r="B15" s="194" t="s">
        <v>282</v>
      </c>
      <c r="C15" s="195"/>
      <c r="D15" s="195"/>
      <c r="E15" s="196"/>
      <c r="F15" s="109"/>
      <c r="G15" s="191"/>
      <c r="H15" s="192"/>
      <c r="I15" s="192"/>
      <c r="J15" s="192"/>
      <c r="K15" s="192"/>
      <c r="L15" s="193"/>
      <c r="M15" s="108"/>
      <c r="N15" s="108"/>
    </row>
    <row r="16" spans="1:16" ht="87.75" customHeight="1" x14ac:dyDescent="0.3">
      <c r="A16" s="106" t="s">
        <v>283</v>
      </c>
      <c r="B16" s="194" t="s">
        <v>284</v>
      </c>
      <c r="C16" s="195"/>
      <c r="D16" s="195"/>
      <c r="E16" s="196"/>
      <c r="F16" s="109"/>
      <c r="G16" s="191"/>
      <c r="H16" s="192"/>
      <c r="I16" s="192"/>
      <c r="J16" s="192"/>
      <c r="K16" s="192"/>
      <c r="L16" s="193"/>
      <c r="M16" s="108"/>
      <c r="N16" s="108"/>
    </row>
    <row r="17" spans="1:14" ht="27" customHeight="1" x14ac:dyDescent="0.3">
      <c r="A17" s="106" t="s">
        <v>285</v>
      </c>
      <c r="B17" s="194" t="s">
        <v>286</v>
      </c>
      <c r="C17" s="195"/>
      <c r="D17" s="195"/>
      <c r="E17" s="196"/>
      <c r="F17" s="109"/>
      <c r="G17" s="191"/>
      <c r="H17" s="192"/>
      <c r="I17" s="192"/>
      <c r="J17" s="192"/>
      <c r="K17" s="192"/>
      <c r="L17" s="193"/>
      <c r="M17" s="108"/>
      <c r="N17" s="108"/>
    </row>
    <row r="18" spans="1:14" ht="15" customHeight="1" x14ac:dyDescent="0.3">
      <c r="A18" s="197" t="s">
        <v>452</v>
      </c>
      <c r="B18" s="198"/>
      <c r="C18" s="198"/>
      <c r="D18" s="198"/>
      <c r="E18" s="198"/>
      <c r="F18" s="198"/>
      <c r="G18" s="198"/>
      <c r="H18" s="198"/>
      <c r="I18" s="198"/>
      <c r="J18" s="198"/>
      <c r="K18" s="198"/>
      <c r="L18" s="198"/>
      <c r="M18" s="198"/>
      <c r="N18" s="199"/>
    </row>
    <row r="19" spans="1:14" ht="42.75" customHeight="1" x14ac:dyDescent="0.3">
      <c r="A19" s="106" t="s">
        <v>272</v>
      </c>
      <c r="B19" s="194" t="s">
        <v>287</v>
      </c>
      <c r="C19" s="195"/>
      <c r="D19" s="195"/>
      <c r="E19" s="196"/>
      <c r="F19" s="109"/>
      <c r="G19" s="191"/>
      <c r="H19" s="192"/>
      <c r="I19" s="192"/>
      <c r="J19" s="192"/>
      <c r="K19" s="192"/>
      <c r="L19" s="193"/>
      <c r="M19" s="108"/>
      <c r="N19" s="108"/>
    </row>
    <row r="20" spans="1:14" ht="44.25" customHeight="1" x14ac:dyDescent="0.3">
      <c r="A20" s="106" t="s">
        <v>277</v>
      </c>
      <c r="B20" s="194" t="s">
        <v>288</v>
      </c>
      <c r="C20" s="195"/>
      <c r="D20" s="195"/>
      <c r="E20" s="196"/>
      <c r="F20" s="109"/>
      <c r="G20" s="191"/>
      <c r="H20" s="192"/>
      <c r="I20" s="192"/>
      <c r="J20" s="192"/>
      <c r="K20" s="192"/>
      <c r="L20" s="193"/>
      <c r="M20" s="108"/>
      <c r="N20" s="108"/>
    </row>
    <row r="21" spans="1:14" ht="53.25" customHeight="1" x14ac:dyDescent="0.3">
      <c r="A21" s="106" t="s">
        <v>279</v>
      </c>
      <c r="B21" s="194" t="s">
        <v>289</v>
      </c>
      <c r="C21" s="195"/>
      <c r="D21" s="195"/>
      <c r="E21" s="196"/>
      <c r="F21" s="109"/>
      <c r="G21" s="191"/>
      <c r="H21" s="192"/>
      <c r="I21" s="192"/>
      <c r="J21" s="192"/>
      <c r="K21" s="192"/>
      <c r="L21" s="193"/>
      <c r="M21" s="108"/>
      <c r="N21" s="108"/>
    </row>
    <row r="22" spans="1:14" ht="73.5" customHeight="1" x14ac:dyDescent="0.3">
      <c r="A22" s="106" t="s">
        <v>281</v>
      </c>
      <c r="B22" s="194" t="s">
        <v>290</v>
      </c>
      <c r="C22" s="195"/>
      <c r="D22" s="195"/>
      <c r="E22" s="196"/>
      <c r="F22" s="109"/>
      <c r="G22" s="191"/>
      <c r="H22" s="192"/>
      <c r="I22" s="192"/>
      <c r="J22" s="192"/>
      <c r="K22" s="192"/>
      <c r="L22" s="193"/>
      <c r="M22" s="108"/>
      <c r="N22" s="108"/>
    </row>
    <row r="23" spans="1:14" ht="22.5" customHeight="1" x14ac:dyDescent="0.3">
      <c r="A23" s="106" t="s">
        <v>283</v>
      </c>
      <c r="B23" s="194" t="s">
        <v>291</v>
      </c>
      <c r="C23" s="195"/>
      <c r="D23" s="195"/>
      <c r="E23" s="196"/>
      <c r="F23" s="109"/>
      <c r="G23" s="191"/>
      <c r="H23" s="192"/>
      <c r="I23" s="192"/>
      <c r="J23" s="192"/>
      <c r="K23" s="192"/>
      <c r="L23" s="193"/>
      <c r="M23" s="108"/>
      <c r="N23" s="108"/>
    </row>
    <row r="24" spans="1:14" ht="24.75" customHeight="1" x14ac:dyDescent="0.3">
      <c r="A24" s="106" t="s">
        <v>285</v>
      </c>
      <c r="B24" s="194" t="s">
        <v>292</v>
      </c>
      <c r="C24" s="195"/>
      <c r="D24" s="195"/>
      <c r="E24" s="196"/>
      <c r="F24" s="109"/>
      <c r="G24" s="191"/>
      <c r="H24" s="192"/>
      <c r="I24" s="192"/>
      <c r="J24" s="192"/>
      <c r="K24" s="192"/>
      <c r="L24" s="193"/>
      <c r="M24" s="108"/>
      <c r="N24" s="108"/>
    </row>
  </sheetData>
  <mergeCells count="48">
    <mergeCell ref="M2:N2"/>
    <mergeCell ref="O2:P2"/>
    <mergeCell ref="M3:N3"/>
    <mergeCell ref="O3:P3"/>
    <mergeCell ref="A1:P1"/>
    <mergeCell ref="A2:L2"/>
    <mergeCell ref="A3:L3"/>
    <mergeCell ref="M4:N4"/>
    <mergeCell ref="O4:P4"/>
    <mergeCell ref="M5:N5"/>
    <mergeCell ref="O5:P5"/>
    <mergeCell ref="A4:L4"/>
    <mergeCell ref="A5:L5"/>
    <mergeCell ref="M6:N6"/>
    <mergeCell ref="O6:P6"/>
    <mergeCell ref="B14:E14"/>
    <mergeCell ref="G14:L14"/>
    <mergeCell ref="M7:N7"/>
    <mergeCell ref="O7:P7"/>
    <mergeCell ref="A9:N9"/>
    <mergeCell ref="B10:E10"/>
    <mergeCell ref="G10:L10"/>
    <mergeCell ref="A11:N11"/>
    <mergeCell ref="B12:E12"/>
    <mergeCell ref="G12:L12"/>
    <mergeCell ref="B13:E13"/>
    <mergeCell ref="G13:L13"/>
    <mergeCell ref="A6:L6"/>
    <mergeCell ref="A7:L7"/>
    <mergeCell ref="B21:E21"/>
    <mergeCell ref="G21:L21"/>
    <mergeCell ref="B15:E15"/>
    <mergeCell ref="G15:L15"/>
    <mergeCell ref="B16:E16"/>
    <mergeCell ref="G16:L16"/>
    <mergeCell ref="B17:E17"/>
    <mergeCell ref="G17:L17"/>
    <mergeCell ref="A18:N18"/>
    <mergeCell ref="B19:E19"/>
    <mergeCell ref="G19:L19"/>
    <mergeCell ref="B20:E20"/>
    <mergeCell ref="G20:L20"/>
    <mergeCell ref="G22:L22"/>
    <mergeCell ref="B23:E23"/>
    <mergeCell ref="G23:L23"/>
    <mergeCell ref="B24:E24"/>
    <mergeCell ref="G24:L24"/>
    <mergeCell ref="B22:E22"/>
  </mergeCells>
  <pageMargins left="0.7" right="0.7" top="0.75" bottom="0.75" header="0.3" footer="0.3"/>
  <pageSetup scale="59" orientation="portrait" r:id="rId1"/>
  <headerFooter>
    <oddHeader>&amp;C&amp;"-,Bold"PIP # - Program name - 2020-21 - Experimentation</oddHeader>
    <oddFooter>&amp;R&amp;P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16"/>
  <sheetViews>
    <sheetView zoomScale="90" zoomScaleNormal="90" workbookViewId="0">
      <selection activeCell="L4" sqref="L4:M4"/>
    </sheetView>
  </sheetViews>
  <sheetFormatPr defaultColWidth="8.6640625" defaultRowHeight="14.4" x14ac:dyDescent="0.3"/>
  <cols>
    <col min="1" max="1" width="8.6640625" style="10" customWidth="1"/>
    <col min="2" max="6" width="8.6640625" style="10"/>
    <col min="7" max="7" width="12.33203125" style="10" bestFit="1" customWidth="1"/>
    <col min="8" max="8" width="14.88671875" style="10" bestFit="1" customWidth="1"/>
    <col min="9" max="9" width="8.6640625" style="10"/>
    <col min="10" max="10" width="8.6640625" style="10" customWidth="1"/>
    <col min="11" max="11" width="13" style="10" customWidth="1"/>
    <col min="12" max="13" width="8.6640625" style="10"/>
    <col min="14" max="14" width="12.6640625" style="10" customWidth="1"/>
    <col min="15" max="15" width="12" style="10" customWidth="1"/>
    <col min="16" max="16384" width="8.6640625" style="10"/>
  </cols>
  <sheetData>
    <row r="1" spans="1:13" x14ac:dyDescent="0.3">
      <c r="A1" s="235" t="s">
        <v>204</v>
      </c>
      <c r="B1" s="235"/>
      <c r="C1" s="235"/>
      <c r="D1" s="235"/>
      <c r="E1" s="235"/>
      <c r="F1" s="235"/>
      <c r="G1" s="235"/>
      <c r="H1" s="235"/>
      <c r="I1" s="235"/>
      <c r="J1" s="235"/>
      <c r="K1" s="235"/>
      <c r="L1" s="233" t="s">
        <v>198</v>
      </c>
      <c r="M1" s="233"/>
    </row>
    <row r="2" spans="1:13" x14ac:dyDescent="0.3">
      <c r="A2" s="234" t="s">
        <v>197</v>
      </c>
      <c r="B2" s="234"/>
      <c r="C2" s="234"/>
      <c r="D2" s="234"/>
      <c r="E2" s="234"/>
      <c r="F2" s="234"/>
      <c r="G2" s="234"/>
      <c r="H2" s="234"/>
      <c r="I2" s="234" t="s">
        <v>196</v>
      </c>
      <c r="J2" s="234"/>
      <c r="K2" s="234"/>
      <c r="L2" s="234" t="s">
        <v>195</v>
      </c>
      <c r="M2" s="234"/>
    </row>
    <row r="3" spans="1:13" x14ac:dyDescent="0.3">
      <c r="A3" s="227"/>
      <c r="B3" s="227"/>
      <c r="C3" s="227"/>
      <c r="D3" s="227"/>
      <c r="E3" s="227"/>
      <c r="F3" s="227"/>
      <c r="G3" s="227"/>
      <c r="H3" s="227"/>
      <c r="I3" s="227"/>
      <c r="J3" s="227"/>
      <c r="K3" s="227"/>
      <c r="L3" s="227"/>
      <c r="M3" s="227"/>
    </row>
    <row r="4" spans="1:13" x14ac:dyDescent="0.3">
      <c r="A4" s="227"/>
      <c r="B4" s="227"/>
      <c r="C4" s="227"/>
      <c r="D4" s="227"/>
      <c r="E4" s="227"/>
      <c r="F4" s="227"/>
      <c r="G4" s="227"/>
      <c r="H4" s="227"/>
      <c r="I4" s="227"/>
      <c r="J4" s="227"/>
      <c r="K4" s="227"/>
      <c r="L4" s="227"/>
      <c r="M4" s="227"/>
    </row>
    <row r="5" spans="1:13" x14ac:dyDescent="0.3">
      <c r="A5" s="227"/>
      <c r="B5" s="227"/>
      <c r="C5" s="227"/>
      <c r="D5" s="227"/>
      <c r="E5" s="227"/>
      <c r="F5" s="227"/>
      <c r="G5" s="227"/>
      <c r="H5" s="227"/>
      <c r="I5" s="227"/>
      <c r="J5" s="227"/>
      <c r="K5" s="227"/>
      <c r="L5" s="227"/>
      <c r="M5" s="227"/>
    </row>
    <row r="6" spans="1:13" x14ac:dyDescent="0.3">
      <c r="A6" s="227"/>
      <c r="B6" s="227"/>
      <c r="C6" s="227"/>
      <c r="D6" s="227"/>
      <c r="E6" s="227"/>
      <c r="F6" s="227"/>
      <c r="G6" s="227"/>
      <c r="H6" s="227"/>
      <c r="I6" s="227"/>
      <c r="J6" s="227"/>
      <c r="K6" s="227"/>
      <c r="L6" s="227"/>
      <c r="M6" s="227"/>
    </row>
    <row r="7" spans="1:13" x14ac:dyDescent="0.3">
      <c r="A7" s="78"/>
      <c r="B7" s="78"/>
      <c r="C7" s="78"/>
      <c r="D7" s="78"/>
      <c r="E7" s="78"/>
      <c r="F7" s="78"/>
      <c r="G7" s="78"/>
      <c r="H7" s="78"/>
      <c r="I7" s="78"/>
      <c r="J7" s="78"/>
      <c r="K7" s="78"/>
      <c r="L7" s="78"/>
      <c r="M7" s="78"/>
    </row>
    <row r="8" spans="1:13" ht="14.4" customHeight="1" x14ac:dyDescent="0.3">
      <c r="A8" s="236" t="s">
        <v>203</v>
      </c>
      <c r="B8" s="237"/>
      <c r="C8" s="237"/>
      <c r="D8" s="237"/>
      <c r="E8" s="237"/>
      <c r="F8" s="237"/>
      <c r="G8" s="237"/>
      <c r="H8" s="237"/>
      <c r="I8" s="237"/>
      <c r="J8" s="237"/>
      <c r="K8" s="237"/>
      <c r="L8" s="237"/>
      <c r="M8" s="237"/>
    </row>
    <row r="9" spans="1:13" ht="15.9" customHeight="1" x14ac:dyDescent="0.3">
      <c r="A9" s="232" t="s">
        <v>100</v>
      </c>
      <c r="B9" s="232"/>
      <c r="C9" s="232"/>
      <c r="D9" s="232"/>
      <c r="E9" s="232"/>
      <c r="F9" s="232"/>
      <c r="G9" s="232"/>
      <c r="H9" s="232"/>
      <c r="I9" s="232"/>
      <c r="J9" s="232"/>
      <c r="K9" s="77" t="s">
        <v>101</v>
      </c>
      <c r="L9" s="217" t="s">
        <v>194</v>
      </c>
      <c r="M9" s="217"/>
    </row>
    <row r="10" spans="1:13" x14ac:dyDescent="0.3">
      <c r="A10" s="231"/>
      <c r="B10" s="231"/>
      <c r="C10" s="231"/>
      <c r="D10" s="231"/>
      <c r="E10" s="231"/>
      <c r="F10" s="231"/>
      <c r="G10" s="231"/>
      <c r="H10" s="231"/>
      <c r="I10" s="231"/>
      <c r="J10" s="231"/>
      <c r="K10" s="76"/>
      <c r="L10" s="227"/>
      <c r="M10" s="227"/>
    </row>
    <row r="11" spans="1:13" x14ac:dyDescent="0.3">
      <c r="A11" s="231"/>
      <c r="B11" s="231"/>
      <c r="C11" s="231"/>
      <c r="D11" s="231"/>
      <c r="E11" s="231"/>
      <c r="F11" s="231"/>
      <c r="G11" s="231"/>
      <c r="H11" s="231"/>
      <c r="I11" s="231"/>
      <c r="J11" s="231"/>
      <c r="K11" s="76"/>
      <c r="L11" s="227"/>
      <c r="M11" s="227"/>
    </row>
    <row r="12" spans="1:13" x14ac:dyDescent="0.3">
      <c r="A12" s="231"/>
      <c r="B12" s="231"/>
      <c r="C12" s="231"/>
      <c r="D12" s="231"/>
      <c r="E12" s="231"/>
      <c r="F12" s="231"/>
      <c r="G12" s="231"/>
      <c r="H12" s="231"/>
      <c r="I12" s="231"/>
      <c r="J12" s="231"/>
      <c r="K12" s="76"/>
      <c r="L12" s="227"/>
      <c r="M12" s="227"/>
    </row>
    <row r="13" spans="1:13" x14ac:dyDescent="0.3">
      <c r="A13" s="231"/>
      <c r="B13" s="231"/>
      <c r="C13" s="231"/>
      <c r="D13" s="231"/>
      <c r="E13" s="231"/>
      <c r="F13" s="231"/>
      <c r="G13" s="231"/>
      <c r="H13" s="231"/>
      <c r="I13" s="231"/>
      <c r="J13" s="231"/>
      <c r="K13" s="76"/>
      <c r="L13" s="227"/>
      <c r="M13" s="227"/>
    </row>
    <row r="14" spans="1:13" x14ac:dyDescent="0.3">
      <c r="A14" s="227"/>
      <c r="B14" s="227"/>
      <c r="C14" s="227"/>
      <c r="D14" s="227"/>
      <c r="E14" s="227"/>
      <c r="F14" s="227"/>
      <c r="G14" s="227"/>
      <c r="H14" s="227"/>
      <c r="I14" s="227"/>
      <c r="J14" s="227"/>
      <c r="K14" s="76"/>
      <c r="L14" s="227"/>
      <c r="M14" s="227"/>
    </row>
    <row r="15" spans="1:13" x14ac:dyDescent="0.3">
      <c r="A15" s="228" t="s">
        <v>126</v>
      </c>
      <c r="B15" s="229"/>
      <c r="C15" s="229"/>
      <c r="D15" s="229"/>
      <c r="E15" s="229"/>
      <c r="F15" s="229"/>
      <c r="G15" s="229"/>
      <c r="H15" s="229"/>
      <c r="I15" s="229"/>
      <c r="J15" s="230"/>
      <c r="K15" s="108"/>
      <c r="L15" s="227"/>
      <c r="M15" s="227"/>
    </row>
    <row r="16" spans="1:13" x14ac:dyDescent="0.3">
      <c r="A16" s="228"/>
      <c r="B16" s="229"/>
      <c r="C16" s="229"/>
      <c r="D16" s="229"/>
      <c r="E16" s="229"/>
      <c r="F16" s="229"/>
      <c r="G16" s="229"/>
      <c r="H16" s="229"/>
      <c r="I16" s="229"/>
      <c r="J16" s="230"/>
      <c r="K16" s="108"/>
      <c r="L16" s="227"/>
      <c r="M16" s="227"/>
    </row>
  </sheetData>
  <mergeCells count="34">
    <mergeCell ref="A8:M8"/>
    <mergeCell ref="A4:H4"/>
    <mergeCell ref="A5:H5"/>
    <mergeCell ref="A6:H6"/>
    <mergeCell ref="L14:M14"/>
    <mergeCell ref="L12:M12"/>
    <mergeCell ref="I4:K4"/>
    <mergeCell ref="I5:K5"/>
    <mergeCell ref="I6:K6"/>
    <mergeCell ref="L4:M4"/>
    <mergeCell ref="L5:M5"/>
    <mergeCell ref="L6:M6"/>
    <mergeCell ref="L1:M1"/>
    <mergeCell ref="A2:H2"/>
    <mergeCell ref="A1:K1"/>
    <mergeCell ref="A3:H3"/>
    <mergeCell ref="L2:M2"/>
    <mergeCell ref="L3:M3"/>
    <mergeCell ref="I2:K2"/>
    <mergeCell ref="I3:K3"/>
    <mergeCell ref="L15:M15"/>
    <mergeCell ref="L16:M16"/>
    <mergeCell ref="A15:J15"/>
    <mergeCell ref="A16:J16"/>
    <mergeCell ref="L9:M9"/>
    <mergeCell ref="L10:M10"/>
    <mergeCell ref="L11:M11"/>
    <mergeCell ref="A12:J12"/>
    <mergeCell ref="A13:J13"/>
    <mergeCell ref="L13:M13"/>
    <mergeCell ref="A9:J9"/>
    <mergeCell ref="A10:J10"/>
    <mergeCell ref="A11:J11"/>
    <mergeCell ref="A14:J14"/>
  </mergeCells>
  <dataValidations count="2">
    <dataValidation type="list" allowBlank="1" showInputMessage="1" showErrorMessage="1" sqref="K10:K14">
      <formula1>"In Progress, Complete"</formula1>
    </dataValidation>
    <dataValidation type="list" allowBlank="1" showInputMessage="1" showErrorMessage="1" sqref="L3:M7">
      <formula1>"FAA Required, TB Commitment, NRCan Priority"</formula1>
    </dataValidation>
  </dataValidations>
  <hyperlinks>
    <hyperlink ref="L1:M1" r:id="rId1" display="Link to IAEP"/>
  </hyperlinks>
  <pageMargins left="0.7" right="0.7" top="0.75" bottom="0.75" header="0.3" footer="0.3"/>
  <pageSetup orientation="portrait" r:id="rId2"/>
  <headerFooter>
    <oddHeader xml:space="preserve">&amp;C&amp;"-,Bold"PIP # - Program name - 2020-21 - Evaluation </oddHeader>
    <oddFooter>&amp;R&amp;P</oddFooter>
  </headerFooter>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249977111117893"/>
  </sheetPr>
  <dimension ref="A1:H15"/>
  <sheetViews>
    <sheetView zoomScaleNormal="100" workbookViewId="0">
      <selection activeCell="B4" sqref="B4"/>
    </sheetView>
  </sheetViews>
  <sheetFormatPr defaultColWidth="9.109375" defaultRowHeight="14.4" x14ac:dyDescent="0.3"/>
  <cols>
    <col min="1" max="1" width="58.6640625" style="10" customWidth="1"/>
    <col min="2" max="2" width="30.6640625" style="80" customWidth="1"/>
    <col min="3" max="4" width="14.6640625" style="10" customWidth="1"/>
    <col min="5" max="7" width="15" style="10" customWidth="1"/>
    <col min="8" max="8" width="15" style="80" customWidth="1"/>
    <col min="9" max="9" width="19.88671875" style="10" customWidth="1"/>
    <col min="10" max="14" width="19.44140625" style="10" customWidth="1"/>
    <col min="15" max="16384" width="9.109375" style="10"/>
  </cols>
  <sheetData>
    <row r="1" spans="1:4" x14ac:dyDescent="0.3">
      <c r="A1" s="238" t="s">
        <v>455</v>
      </c>
      <c r="B1" s="238"/>
      <c r="C1" s="238"/>
      <c r="D1" s="238"/>
    </row>
    <row r="2" spans="1:4" x14ac:dyDescent="0.3">
      <c r="A2" s="60" t="s">
        <v>475</v>
      </c>
      <c r="B2" s="60"/>
      <c r="C2" s="60"/>
      <c r="D2" s="60"/>
    </row>
    <row r="3" spans="1:4" x14ac:dyDescent="0.3">
      <c r="A3" s="97" t="s">
        <v>474</v>
      </c>
      <c r="B3" s="97" t="s">
        <v>464</v>
      </c>
      <c r="C3" s="97" t="s">
        <v>454</v>
      </c>
      <c r="D3" s="97" t="s">
        <v>473</v>
      </c>
    </row>
    <row r="4" spans="1:4" x14ac:dyDescent="0.3">
      <c r="A4" s="108" t="s">
        <v>467</v>
      </c>
      <c r="B4" s="108"/>
      <c r="C4" s="108"/>
      <c r="D4" s="119"/>
    </row>
    <row r="5" spans="1:4" x14ac:dyDescent="0.3">
      <c r="A5" s="108" t="s">
        <v>468</v>
      </c>
      <c r="B5" s="108"/>
      <c r="C5" s="108"/>
      <c r="D5" s="108"/>
    </row>
    <row r="6" spans="1:4" x14ac:dyDescent="0.3">
      <c r="A6" s="108" t="s">
        <v>469</v>
      </c>
      <c r="B6" s="118"/>
      <c r="C6" s="108"/>
      <c r="D6" s="108"/>
    </row>
    <row r="7" spans="1:4" x14ac:dyDescent="0.3">
      <c r="A7" s="108" t="s">
        <v>470</v>
      </c>
      <c r="B7" s="118"/>
      <c r="C7" s="108"/>
      <c r="D7" s="108"/>
    </row>
    <row r="8" spans="1:4" x14ac:dyDescent="0.3">
      <c r="A8" s="108" t="s">
        <v>471</v>
      </c>
      <c r="B8" s="108"/>
      <c r="C8" s="108"/>
      <c r="D8" s="108"/>
    </row>
    <row r="9" spans="1:4" x14ac:dyDescent="0.3">
      <c r="A9" s="108" t="s">
        <v>472</v>
      </c>
      <c r="B9" s="108"/>
      <c r="C9" s="108"/>
      <c r="D9" s="120"/>
    </row>
    <row r="15" spans="1:4" ht="30" customHeight="1" x14ac:dyDescent="0.3"/>
  </sheetData>
  <mergeCells count="1">
    <mergeCell ref="A1:D1"/>
  </mergeCells>
  <pageMargins left="0.7" right="0.7" top="0.75" bottom="0.75" header="0.3" footer="0.3"/>
  <pageSetup paperSize="5" orientation="landscape" r:id="rId1"/>
  <headerFooter>
    <oddHeader xml:space="preserve">&amp;C&amp;"-,Bold"PIP # - Program name - 2020-21 - Transfer Payment Programs&amp;"-,Regular"
</oddHeader>
    <oddFooter>&amp;R&amp;P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sheetPr>
  <dimension ref="A1:K206"/>
  <sheetViews>
    <sheetView zoomScale="90" zoomScaleNormal="90" workbookViewId="0">
      <selection activeCell="A5" sqref="A5:J5"/>
    </sheetView>
  </sheetViews>
  <sheetFormatPr defaultColWidth="9.109375" defaultRowHeight="14.4" x14ac:dyDescent="0.3"/>
  <cols>
    <col min="1" max="1" width="9.109375" style="80"/>
    <col min="2" max="3" width="9.109375" style="80" customWidth="1"/>
    <col min="4" max="5" width="9.109375" style="80"/>
    <col min="6" max="6" width="9.109375" style="80" customWidth="1"/>
    <col min="7" max="9" width="9.109375" style="80"/>
    <col min="10" max="10" width="98.88671875" style="80" customWidth="1"/>
    <col min="11" max="12" width="9.109375" style="80"/>
    <col min="13" max="13" width="46" style="80" customWidth="1"/>
    <col min="14" max="14" width="9.109375" style="80" customWidth="1"/>
    <col min="15" max="16384" width="9.109375" style="80"/>
  </cols>
  <sheetData>
    <row r="1" spans="1:11" x14ac:dyDescent="0.3">
      <c r="A1" s="253" t="s">
        <v>492</v>
      </c>
      <c r="B1" s="253"/>
      <c r="C1" s="253"/>
      <c r="D1" s="253"/>
      <c r="E1" s="253"/>
      <c r="F1" s="253"/>
      <c r="G1" s="253"/>
      <c r="H1" s="253"/>
      <c r="I1" s="253"/>
      <c r="J1" s="253"/>
    </row>
    <row r="2" spans="1:11" ht="315.89999999999998" customHeight="1" x14ac:dyDescent="0.3">
      <c r="A2" s="254" t="s">
        <v>524</v>
      </c>
      <c r="B2" s="255"/>
      <c r="C2" s="255"/>
      <c r="D2" s="255"/>
      <c r="E2" s="255"/>
      <c r="F2" s="255"/>
      <c r="G2" s="255"/>
      <c r="H2" s="255"/>
      <c r="I2" s="255"/>
      <c r="J2" s="255"/>
      <c r="K2" s="79"/>
    </row>
    <row r="3" spans="1:11" ht="195.9" customHeight="1" x14ac:dyDescent="0.3">
      <c r="A3" s="256" t="s">
        <v>525</v>
      </c>
      <c r="B3" s="256"/>
      <c r="C3" s="256"/>
      <c r="D3" s="256"/>
      <c r="E3" s="256"/>
      <c r="F3" s="256"/>
      <c r="G3" s="256"/>
      <c r="H3" s="256"/>
      <c r="I3" s="256"/>
      <c r="J3" s="256"/>
    </row>
    <row r="4" spans="1:11" ht="32.1" customHeight="1" x14ac:dyDescent="0.3">
      <c r="A4" s="257" t="s">
        <v>526</v>
      </c>
      <c r="B4" s="258"/>
      <c r="C4" s="258"/>
      <c r="D4" s="258"/>
      <c r="E4" s="258"/>
      <c r="F4" s="258"/>
      <c r="G4" s="258"/>
      <c r="H4" s="258"/>
      <c r="I4" s="258"/>
      <c r="J4" s="259"/>
    </row>
    <row r="5" spans="1:11" ht="112.5" customHeight="1" x14ac:dyDescent="0.3">
      <c r="A5" s="260" t="s">
        <v>480</v>
      </c>
      <c r="B5" s="260"/>
      <c r="C5" s="260"/>
      <c r="D5" s="260"/>
      <c r="E5" s="260"/>
      <c r="F5" s="260"/>
      <c r="G5" s="260"/>
      <c r="H5" s="260"/>
      <c r="I5" s="260"/>
      <c r="J5" s="260"/>
    </row>
    <row r="6" spans="1:11" ht="117" customHeight="1" x14ac:dyDescent="0.3">
      <c r="A6" s="252" t="s">
        <v>491</v>
      </c>
      <c r="B6" s="261"/>
      <c r="C6" s="261"/>
      <c r="D6" s="261"/>
      <c r="E6" s="261"/>
      <c r="F6" s="261"/>
      <c r="G6" s="261"/>
      <c r="H6" s="261"/>
      <c r="I6" s="261"/>
      <c r="J6" s="261"/>
    </row>
    <row r="7" spans="1:11" ht="264" customHeight="1" x14ac:dyDescent="0.3">
      <c r="A7" s="239" t="s">
        <v>490</v>
      </c>
      <c r="B7" s="240"/>
      <c r="C7" s="240"/>
      <c r="D7" s="240"/>
      <c r="E7" s="240"/>
      <c r="F7" s="240"/>
      <c r="G7" s="240"/>
      <c r="H7" s="240"/>
      <c r="I7" s="240"/>
      <c r="J7" s="241"/>
    </row>
    <row r="8" spans="1:11" ht="99.75" customHeight="1" x14ac:dyDescent="0.3">
      <c r="A8" s="242" t="s">
        <v>480</v>
      </c>
      <c r="B8" s="243"/>
      <c r="C8" s="243"/>
      <c r="D8" s="243"/>
      <c r="E8" s="243"/>
      <c r="F8" s="243"/>
      <c r="G8" s="243"/>
      <c r="H8" s="243"/>
      <c r="I8" s="243"/>
      <c r="J8" s="244"/>
    </row>
    <row r="9" spans="1:11" ht="69.900000000000006" customHeight="1" x14ac:dyDescent="0.3">
      <c r="A9" s="245" t="s">
        <v>527</v>
      </c>
      <c r="B9" s="246"/>
      <c r="C9" s="246"/>
      <c r="D9" s="246"/>
      <c r="E9" s="246"/>
      <c r="F9" s="246"/>
      <c r="G9" s="246"/>
      <c r="H9" s="246"/>
      <c r="I9" s="246"/>
      <c r="J9" s="247"/>
    </row>
    <row r="10" spans="1:11" ht="120" customHeight="1" x14ac:dyDescent="0.3">
      <c r="A10" s="248" t="s">
        <v>489</v>
      </c>
      <c r="B10" s="248"/>
      <c r="C10" s="248"/>
      <c r="D10" s="248"/>
      <c r="E10" s="248"/>
      <c r="F10" s="248"/>
      <c r="G10" s="248"/>
      <c r="H10" s="248"/>
      <c r="I10" s="248"/>
      <c r="J10" s="248"/>
    </row>
    <row r="11" spans="1:11" ht="68.25" customHeight="1" x14ac:dyDescent="0.3">
      <c r="A11" s="249" t="s">
        <v>480</v>
      </c>
      <c r="B11" s="250"/>
      <c r="C11" s="250"/>
      <c r="D11" s="250"/>
      <c r="E11" s="250"/>
      <c r="F11" s="250"/>
      <c r="G11" s="250"/>
      <c r="H11" s="250"/>
      <c r="I11" s="250"/>
      <c r="J11" s="251"/>
    </row>
    <row r="12" spans="1:11" ht="69.75" customHeight="1" x14ac:dyDescent="0.3">
      <c r="A12" s="252" t="s">
        <v>488</v>
      </c>
      <c r="B12" s="252"/>
      <c r="C12" s="252"/>
      <c r="D12" s="252"/>
      <c r="E12" s="252"/>
      <c r="F12" s="252"/>
      <c r="G12" s="252"/>
      <c r="H12" s="252"/>
      <c r="I12" s="252"/>
      <c r="J12" s="252"/>
    </row>
    <row r="13" spans="1:11" ht="67.5" customHeight="1" x14ac:dyDescent="0.3">
      <c r="A13" s="239" t="s">
        <v>487</v>
      </c>
      <c r="B13" s="240"/>
      <c r="C13" s="240"/>
      <c r="D13" s="240"/>
      <c r="E13" s="240"/>
      <c r="F13" s="240"/>
      <c r="G13" s="240"/>
      <c r="H13" s="240"/>
      <c r="I13" s="240"/>
      <c r="J13" s="241"/>
    </row>
    <row r="14" spans="1:11" ht="98.25" customHeight="1" x14ac:dyDescent="0.3">
      <c r="A14" s="267" t="s">
        <v>480</v>
      </c>
      <c r="B14" s="268"/>
      <c r="C14" s="268"/>
      <c r="D14" s="268"/>
      <c r="E14" s="268"/>
      <c r="F14" s="268"/>
      <c r="G14" s="268"/>
      <c r="H14" s="268"/>
      <c r="I14" s="268"/>
      <c r="J14" s="269"/>
    </row>
    <row r="15" spans="1:11" ht="87.75" customHeight="1" x14ac:dyDescent="0.3">
      <c r="A15" s="252" t="s">
        <v>486</v>
      </c>
      <c r="B15" s="252"/>
      <c r="C15" s="252"/>
      <c r="D15" s="252"/>
      <c r="E15" s="252"/>
      <c r="F15" s="252"/>
      <c r="G15" s="252"/>
      <c r="H15" s="252"/>
      <c r="I15" s="252"/>
      <c r="J15" s="252"/>
    </row>
    <row r="16" spans="1:11" ht="128.25" customHeight="1" x14ac:dyDescent="0.3">
      <c r="A16" s="262" t="s">
        <v>485</v>
      </c>
      <c r="B16" s="262"/>
      <c r="C16" s="262"/>
      <c r="D16" s="262"/>
      <c r="E16" s="262"/>
      <c r="F16" s="262"/>
      <c r="G16" s="262"/>
      <c r="H16" s="262"/>
      <c r="I16" s="262"/>
      <c r="J16" s="262"/>
    </row>
    <row r="17" spans="1:10" ht="84.75" customHeight="1" x14ac:dyDescent="0.3">
      <c r="A17" s="265" t="s">
        <v>528</v>
      </c>
      <c r="B17" s="265"/>
      <c r="C17" s="265"/>
      <c r="D17" s="265"/>
      <c r="E17" s="265"/>
      <c r="F17" s="265"/>
      <c r="G17" s="265"/>
      <c r="H17" s="265"/>
      <c r="I17" s="265"/>
      <c r="J17" s="265"/>
    </row>
    <row r="18" spans="1:10" ht="178.5" customHeight="1" x14ac:dyDescent="0.3">
      <c r="A18" s="252" t="s">
        <v>484</v>
      </c>
      <c r="B18" s="270"/>
      <c r="C18" s="270"/>
      <c r="D18" s="270"/>
      <c r="E18" s="270"/>
      <c r="F18" s="270"/>
      <c r="G18" s="270"/>
      <c r="H18" s="270"/>
      <c r="I18" s="270"/>
      <c r="J18" s="270"/>
    </row>
    <row r="19" spans="1:10" ht="129" customHeight="1" x14ac:dyDescent="0.3">
      <c r="A19" s="262" t="s">
        <v>483</v>
      </c>
      <c r="B19" s="262"/>
      <c r="C19" s="262"/>
      <c r="D19" s="262"/>
      <c r="E19" s="262"/>
      <c r="F19" s="262"/>
      <c r="G19" s="262"/>
      <c r="H19" s="262"/>
      <c r="I19" s="262"/>
      <c r="J19" s="262"/>
    </row>
    <row r="20" spans="1:10" ht="55.5" customHeight="1" x14ac:dyDescent="0.3">
      <c r="A20" s="263" t="s">
        <v>480</v>
      </c>
      <c r="B20" s="263"/>
      <c r="C20" s="263"/>
      <c r="D20" s="263"/>
      <c r="E20" s="263"/>
      <c r="F20" s="263"/>
      <c r="G20" s="263"/>
      <c r="H20" s="263"/>
      <c r="I20" s="263"/>
      <c r="J20" s="263"/>
    </row>
    <row r="21" spans="1:10" ht="68.25" customHeight="1" x14ac:dyDescent="0.3">
      <c r="A21" s="252" t="s">
        <v>482</v>
      </c>
      <c r="B21" s="264"/>
      <c r="C21" s="264"/>
      <c r="D21" s="264"/>
      <c r="E21" s="264"/>
      <c r="F21" s="264"/>
      <c r="G21" s="264"/>
      <c r="H21" s="264"/>
      <c r="I21" s="264"/>
      <c r="J21" s="264"/>
    </row>
    <row r="22" spans="1:10" ht="72.75" customHeight="1" x14ac:dyDescent="0.3">
      <c r="A22" s="262" t="s">
        <v>481</v>
      </c>
      <c r="B22" s="262"/>
      <c r="C22" s="262"/>
      <c r="D22" s="262"/>
      <c r="E22" s="262"/>
      <c r="F22" s="262"/>
      <c r="G22" s="262"/>
      <c r="H22" s="262"/>
      <c r="I22" s="262"/>
      <c r="J22" s="262"/>
    </row>
    <row r="23" spans="1:10" ht="150" customHeight="1" x14ac:dyDescent="0.3">
      <c r="A23" s="265" t="s">
        <v>480</v>
      </c>
      <c r="B23" s="265"/>
      <c r="C23" s="265"/>
      <c r="D23" s="265"/>
      <c r="E23" s="265"/>
      <c r="F23" s="265"/>
      <c r="G23" s="265"/>
      <c r="H23" s="265"/>
      <c r="I23" s="265"/>
      <c r="J23" s="265"/>
    </row>
    <row r="24" spans="1:10" ht="15.9" customHeight="1" x14ac:dyDescent="0.3">
      <c r="A24" s="266"/>
      <c r="B24" s="266"/>
      <c r="C24" s="266"/>
      <c r="D24" s="266"/>
      <c r="E24" s="266"/>
      <c r="F24" s="266"/>
      <c r="G24" s="266"/>
      <c r="H24" s="266"/>
      <c r="I24" s="266"/>
      <c r="J24" s="266"/>
    </row>
    <row r="25" spans="1:10" s="131" customFormat="1" ht="15.9" customHeight="1" x14ac:dyDescent="0.3">
      <c r="A25" s="130"/>
      <c r="B25" s="130"/>
      <c r="C25" s="130"/>
      <c r="D25" s="130"/>
      <c r="E25" s="130"/>
      <c r="F25" s="130"/>
      <c r="G25" s="130"/>
      <c r="H25" s="130"/>
      <c r="I25" s="130"/>
      <c r="J25" s="130"/>
    </row>
    <row r="26" spans="1:10" ht="15.9" customHeight="1" x14ac:dyDescent="0.3">
      <c r="A26" s="130"/>
      <c r="B26" s="130"/>
      <c r="C26" s="130"/>
      <c r="D26" s="130"/>
      <c r="E26" s="130"/>
      <c r="F26" s="130"/>
      <c r="G26" s="130"/>
      <c r="H26" s="130"/>
      <c r="I26" s="130"/>
      <c r="J26" s="130"/>
    </row>
    <row r="27" spans="1:10" ht="15.9" customHeight="1" x14ac:dyDescent="0.3">
      <c r="A27" s="271" t="s">
        <v>529</v>
      </c>
      <c r="B27" s="271"/>
      <c r="C27" s="271"/>
      <c r="D27" s="271"/>
      <c r="E27" s="271"/>
      <c r="F27" s="271"/>
      <c r="G27" s="271"/>
      <c r="H27" s="271"/>
      <c r="I27" s="271"/>
      <c r="J27" s="271"/>
    </row>
    <row r="28" spans="1:10" ht="24" customHeight="1" x14ac:dyDescent="0.3">
      <c r="A28" s="253" t="s">
        <v>492</v>
      </c>
      <c r="B28" s="253"/>
      <c r="C28" s="253"/>
      <c r="D28" s="253"/>
      <c r="E28" s="253"/>
      <c r="F28" s="253"/>
      <c r="G28" s="253"/>
      <c r="H28" s="253"/>
      <c r="I28" s="253"/>
      <c r="J28" s="253"/>
    </row>
    <row r="29" spans="1:10" ht="212.1" customHeight="1" x14ac:dyDescent="0.3">
      <c r="A29" s="256" t="s">
        <v>525</v>
      </c>
      <c r="B29" s="256"/>
      <c r="C29" s="256"/>
      <c r="D29" s="256"/>
      <c r="E29" s="256"/>
      <c r="F29" s="256"/>
      <c r="G29" s="256"/>
      <c r="H29" s="256"/>
      <c r="I29" s="256"/>
      <c r="J29" s="256"/>
    </row>
    <row r="30" spans="1:10" ht="35.1" customHeight="1" x14ac:dyDescent="0.3">
      <c r="A30" s="257" t="s">
        <v>526</v>
      </c>
      <c r="B30" s="258"/>
      <c r="C30" s="258"/>
      <c r="D30" s="258"/>
      <c r="E30" s="258"/>
      <c r="F30" s="258"/>
      <c r="G30" s="258"/>
      <c r="H30" s="258"/>
      <c r="I30" s="258"/>
      <c r="J30" s="259"/>
    </row>
    <row r="31" spans="1:10" ht="39" customHeight="1" x14ac:dyDescent="0.3">
      <c r="A31" s="260" t="s">
        <v>480</v>
      </c>
      <c r="B31" s="260"/>
      <c r="C31" s="260"/>
      <c r="D31" s="260"/>
      <c r="E31" s="260"/>
      <c r="F31" s="260"/>
      <c r="G31" s="260"/>
      <c r="H31" s="260"/>
      <c r="I31" s="260"/>
      <c r="J31" s="260"/>
    </row>
    <row r="32" spans="1:10" ht="111" customHeight="1" x14ac:dyDescent="0.3">
      <c r="A32" s="252" t="s">
        <v>491</v>
      </c>
      <c r="B32" s="261"/>
      <c r="C32" s="261"/>
      <c r="D32" s="261"/>
      <c r="E32" s="261"/>
      <c r="F32" s="261"/>
      <c r="G32" s="261"/>
      <c r="H32" s="261"/>
      <c r="I32" s="261"/>
      <c r="J32" s="261"/>
    </row>
    <row r="33" spans="1:10" ht="267.89999999999998" customHeight="1" x14ac:dyDescent="0.3">
      <c r="A33" s="239" t="s">
        <v>490</v>
      </c>
      <c r="B33" s="240"/>
      <c r="C33" s="240"/>
      <c r="D33" s="240"/>
      <c r="E33" s="240"/>
      <c r="F33" s="240"/>
      <c r="G33" s="240"/>
      <c r="H33" s="240"/>
      <c r="I33" s="240"/>
      <c r="J33" s="241"/>
    </row>
    <row r="34" spans="1:10" ht="60.9" customHeight="1" x14ac:dyDescent="0.3">
      <c r="A34" s="242" t="s">
        <v>480</v>
      </c>
      <c r="B34" s="243"/>
      <c r="C34" s="243"/>
      <c r="D34" s="243"/>
      <c r="E34" s="243"/>
      <c r="F34" s="243"/>
      <c r="G34" s="243"/>
      <c r="H34" s="243"/>
      <c r="I34" s="243"/>
      <c r="J34" s="244"/>
    </row>
    <row r="35" spans="1:10" ht="72.900000000000006" customHeight="1" x14ac:dyDescent="0.3">
      <c r="A35" s="245" t="s">
        <v>527</v>
      </c>
      <c r="B35" s="246"/>
      <c r="C35" s="246"/>
      <c r="D35" s="246"/>
      <c r="E35" s="246"/>
      <c r="F35" s="246"/>
      <c r="G35" s="246"/>
      <c r="H35" s="246"/>
      <c r="I35" s="246"/>
      <c r="J35" s="247"/>
    </row>
    <row r="36" spans="1:10" ht="117.9" customHeight="1" x14ac:dyDescent="0.3">
      <c r="A36" s="248" t="s">
        <v>489</v>
      </c>
      <c r="B36" s="248"/>
      <c r="C36" s="248"/>
      <c r="D36" s="248"/>
      <c r="E36" s="248"/>
      <c r="F36" s="248"/>
      <c r="G36" s="248"/>
      <c r="H36" s="248"/>
      <c r="I36" s="248"/>
      <c r="J36" s="248"/>
    </row>
    <row r="37" spans="1:10" ht="51" customHeight="1" x14ac:dyDescent="0.3">
      <c r="A37" s="249" t="s">
        <v>480</v>
      </c>
      <c r="B37" s="250"/>
      <c r="C37" s="250"/>
      <c r="D37" s="250"/>
      <c r="E37" s="250"/>
      <c r="F37" s="250"/>
      <c r="G37" s="250"/>
      <c r="H37" s="250"/>
      <c r="I37" s="250"/>
      <c r="J37" s="251"/>
    </row>
    <row r="38" spans="1:10" ht="69" customHeight="1" x14ac:dyDescent="0.3">
      <c r="A38" s="252" t="s">
        <v>488</v>
      </c>
      <c r="B38" s="252"/>
      <c r="C38" s="252"/>
      <c r="D38" s="252"/>
      <c r="E38" s="252"/>
      <c r="F38" s="252"/>
      <c r="G38" s="252"/>
      <c r="H38" s="252"/>
      <c r="I38" s="252"/>
      <c r="J38" s="252"/>
    </row>
    <row r="39" spans="1:10" ht="36.9" customHeight="1" x14ac:dyDescent="0.3">
      <c r="A39" s="239" t="s">
        <v>487</v>
      </c>
      <c r="B39" s="240"/>
      <c r="C39" s="240"/>
      <c r="D39" s="240"/>
      <c r="E39" s="240"/>
      <c r="F39" s="240"/>
      <c r="G39" s="240"/>
      <c r="H39" s="240"/>
      <c r="I39" s="240"/>
      <c r="J39" s="241"/>
    </row>
    <row r="40" spans="1:10" ht="57" customHeight="1" x14ac:dyDescent="0.3">
      <c r="A40" s="267" t="s">
        <v>480</v>
      </c>
      <c r="B40" s="268"/>
      <c r="C40" s="268"/>
      <c r="D40" s="268"/>
      <c r="E40" s="268"/>
      <c r="F40" s="268"/>
      <c r="G40" s="268"/>
      <c r="H40" s="268"/>
      <c r="I40" s="268"/>
      <c r="J40" s="269"/>
    </row>
    <row r="41" spans="1:10" ht="72.900000000000006" customHeight="1" x14ac:dyDescent="0.3">
      <c r="A41" s="252" t="s">
        <v>486</v>
      </c>
      <c r="B41" s="252"/>
      <c r="C41" s="252"/>
      <c r="D41" s="252"/>
      <c r="E41" s="252"/>
      <c r="F41" s="252"/>
      <c r="G41" s="252"/>
      <c r="H41" s="252"/>
      <c r="I41" s="252"/>
      <c r="J41" s="252"/>
    </row>
    <row r="42" spans="1:10" ht="111.9" customHeight="1" x14ac:dyDescent="0.3">
      <c r="A42" s="262" t="s">
        <v>485</v>
      </c>
      <c r="B42" s="262"/>
      <c r="C42" s="262"/>
      <c r="D42" s="262"/>
      <c r="E42" s="262"/>
      <c r="F42" s="262"/>
      <c r="G42" s="262"/>
      <c r="H42" s="262"/>
      <c r="I42" s="262"/>
      <c r="J42" s="262"/>
    </row>
    <row r="43" spans="1:10" ht="63" customHeight="1" x14ac:dyDescent="0.3">
      <c r="A43" s="265" t="s">
        <v>528</v>
      </c>
      <c r="B43" s="265"/>
      <c r="C43" s="265"/>
      <c r="D43" s="265"/>
      <c r="E43" s="265"/>
      <c r="F43" s="265"/>
      <c r="G43" s="265"/>
      <c r="H43" s="265"/>
      <c r="I43" s="265"/>
      <c r="J43" s="265"/>
    </row>
    <row r="44" spans="1:10" ht="129" customHeight="1" x14ac:dyDescent="0.3">
      <c r="A44" s="252" t="s">
        <v>484</v>
      </c>
      <c r="B44" s="270"/>
      <c r="C44" s="270"/>
      <c r="D44" s="270"/>
      <c r="E44" s="270"/>
      <c r="F44" s="270"/>
      <c r="G44" s="270"/>
      <c r="H44" s="270"/>
      <c r="I44" s="270"/>
      <c r="J44" s="270"/>
    </row>
    <row r="45" spans="1:10" ht="114" customHeight="1" x14ac:dyDescent="0.3">
      <c r="A45" s="262" t="s">
        <v>483</v>
      </c>
      <c r="B45" s="262"/>
      <c r="C45" s="262"/>
      <c r="D45" s="262"/>
      <c r="E45" s="262"/>
      <c r="F45" s="262"/>
      <c r="G45" s="262"/>
      <c r="H45" s="262"/>
      <c r="I45" s="262"/>
      <c r="J45" s="262"/>
    </row>
    <row r="46" spans="1:10" ht="53.1" customHeight="1" x14ac:dyDescent="0.3">
      <c r="A46" s="263" t="s">
        <v>480</v>
      </c>
      <c r="B46" s="263"/>
      <c r="C46" s="263"/>
      <c r="D46" s="263"/>
      <c r="E46" s="263"/>
      <c r="F46" s="263"/>
      <c r="G46" s="263"/>
      <c r="H46" s="263"/>
      <c r="I46" s="263"/>
      <c r="J46" s="263"/>
    </row>
    <row r="47" spans="1:10" ht="57.9" customHeight="1" x14ac:dyDescent="0.3">
      <c r="A47" s="252" t="s">
        <v>482</v>
      </c>
      <c r="B47" s="264"/>
      <c r="C47" s="264"/>
      <c r="D47" s="264"/>
      <c r="E47" s="264"/>
      <c r="F47" s="264"/>
      <c r="G47" s="264"/>
      <c r="H47" s="264"/>
      <c r="I47" s="264"/>
      <c r="J47" s="264"/>
    </row>
    <row r="48" spans="1:10" ht="65.099999999999994" customHeight="1" x14ac:dyDescent="0.3">
      <c r="A48" s="262" t="s">
        <v>481</v>
      </c>
      <c r="B48" s="262"/>
      <c r="C48" s="262"/>
      <c r="D48" s="262"/>
      <c r="E48" s="262"/>
      <c r="F48" s="262"/>
      <c r="G48" s="262"/>
      <c r="H48" s="262"/>
      <c r="I48" s="262"/>
      <c r="J48" s="262"/>
    </row>
    <row r="49" spans="1:10" ht="33.9" customHeight="1" x14ac:dyDescent="0.3">
      <c r="A49" s="265" t="s">
        <v>480</v>
      </c>
      <c r="B49" s="265"/>
      <c r="C49" s="265"/>
      <c r="D49" s="265"/>
      <c r="E49" s="265"/>
      <c r="F49" s="265"/>
      <c r="G49" s="265"/>
      <c r="H49" s="265"/>
      <c r="I49" s="265"/>
      <c r="J49" s="265"/>
    </row>
    <row r="50" spans="1:10" x14ac:dyDescent="0.3">
      <c r="A50" s="266"/>
      <c r="B50" s="266"/>
      <c r="C50" s="266"/>
      <c r="D50" s="266"/>
      <c r="E50" s="266"/>
      <c r="F50" s="266"/>
      <c r="G50" s="266"/>
      <c r="H50" s="266"/>
      <c r="I50" s="266"/>
      <c r="J50" s="266"/>
    </row>
    <row r="53" spans="1:10" x14ac:dyDescent="0.3">
      <c r="A53" s="266" t="s">
        <v>529</v>
      </c>
      <c r="B53" s="266"/>
      <c r="C53" s="266"/>
      <c r="D53" s="266"/>
      <c r="E53" s="266"/>
      <c r="F53" s="266"/>
      <c r="G53" s="266"/>
      <c r="H53" s="266"/>
      <c r="I53" s="266"/>
      <c r="J53" s="266"/>
    </row>
    <row r="54" spans="1:10" x14ac:dyDescent="0.3">
      <c r="A54" s="253" t="s">
        <v>492</v>
      </c>
      <c r="B54" s="253"/>
      <c r="C54" s="253"/>
      <c r="D54" s="253"/>
      <c r="E54" s="253"/>
      <c r="F54" s="253"/>
      <c r="G54" s="253"/>
      <c r="H54" s="253"/>
      <c r="I54" s="253"/>
      <c r="J54" s="253"/>
    </row>
    <row r="55" spans="1:10" ht="150" customHeight="1" x14ac:dyDescent="0.3">
      <c r="A55" s="256" t="s">
        <v>525</v>
      </c>
      <c r="B55" s="256"/>
      <c r="C55" s="256"/>
      <c r="D55" s="256"/>
      <c r="E55" s="256"/>
      <c r="F55" s="256"/>
      <c r="G55" s="256"/>
      <c r="H55" s="256"/>
      <c r="I55" s="256"/>
      <c r="J55" s="256"/>
    </row>
    <row r="56" spans="1:10" ht="15.6" x14ac:dyDescent="0.3">
      <c r="A56" s="257" t="s">
        <v>526</v>
      </c>
      <c r="B56" s="258"/>
      <c r="C56" s="258"/>
      <c r="D56" s="258"/>
      <c r="E56" s="258"/>
      <c r="F56" s="258"/>
      <c r="G56" s="258"/>
      <c r="H56" s="258"/>
      <c r="I56" s="258"/>
      <c r="J56" s="259"/>
    </row>
    <row r="57" spans="1:10" ht="45" customHeight="1" x14ac:dyDescent="0.3">
      <c r="A57" s="260" t="s">
        <v>480</v>
      </c>
      <c r="B57" s="260"/>
      <c r="C57" s="260"/>
      <c r="D57" s="260"/>
      <c r="E57" s="260"/>
      <c r="F57" s="260"/>
      <c r="G57" s="260"/>
      <c r="H57" s="260"/>
      <c r="I57" s="260"/>
      <c r="J57" s="260"/>
    </row>
    <row r="58" spans="1:10" ht="101.1" customHeight="1" x14ac:dyDescent="0.3">
      <c r="A58" s="252" t="s">
        <v>491</v>
      </c>
      <c r="B58" s="261"/>
      <c r="C58" s="261"/>
      <c r="D58" s="261"/>
      <c r="E58" s="261"/>
      <c r="F58" s="261"/>
      <c r="G58" s="261"/>
      <c r="H58" s="261"/>
      <c r="I58" s="261"/>
      <c r="J58" s="261"/>
    </row>
    <row r="59" spans="1:10" ht="263.10000000000002" customHeight="1" x14ac:dyDescent="0.3">
      <c r="A59" s="239" t="s">
        <v>490</v>
      </c>
      <c r="B59" s="240"/>
      <c r="C59" s="240"/>
      <c r="D59" s="240"/>
      <c r="E59" s="240"/>
      <c r="F59" s="240"/>
      <c r="G59" s="240"/>
      <c r="H59" s="240"/>
      <c r="I59" s="240"/>
      <c r="J59" s="241"/>
    </row>
    <row r="60" spans="1:10" ht="63.9" customHeight="1" x14ac:dyDescent="0.3">
      <c r="A60" s="242" t="s">
        <v>480</v>
      </c>
      <c r="B60" s="243"/>
      <c r="C60" s="243"/>
      <c r="D60" s="243"/>
      <c r="E60" s="243"/>
      <c r="F60" s="243"/>
      <c r="G60" s="243"/>
      <c r="H60" s="243"/>
      <c r="I60" s="243"/>
      <c r="J60" s="244"/>
    </row>
    <row r="61" spans="1:10" ht="74.099999999999994" customHeight="1" x14ac:dyDescent="0.3">
      <c r="A61" s="245" t="s">
        <v>527</v>
      </c>
      <c r="B61" s="246"/>
      <c r="C61" s="246"/>
      <c r="D61" s="246"/>
      <c r="E61" s="246"/>
      <c r="F61" s="246"/>
      <c r="G61" s="246"/>
      <c r="H61" s="246"/>
      <c r="I61" s="246"/>
      <c r="J61" s="247"/>
    </row>
    <row r="62" spans="1:10" ht="101.1" customHeight="1" x14ac:dyDescent="0.3">
      <c r="A62" s="248" t="s">
        <v>489</v>
      </c>
      <c r="B62" s="248"/>
      <c r="C62" s="248"/>
      <c r="D62" s="248"/>
      <c r="E62" s="248"/>
      <c r="F62" s="248"/>
      <c r="G62" s="248"/>
      <c r="H62" s="248"/>
      <c r="I62" s="248"/>
      <c r="J62" s="248"/>
    </row>
    <row r="63" spans="1:10" ht="54.9" customHeight="1" x14ac:dyDescent="0.3">
      <c r="A63" s="249" t="s">
        <v>480</v>
      </c>
      <c r="B63" s="250"/>
      <c r="C63" s="250"/>
      <c r="D63" s="250"/>
      <c r="E63" s="250"/>
      <c r="F63" s="250"/>
      <c r="G63" s="250"/>
      <c r="H63" s="250"/>
      <c r="I63" s="250"/>
      <c r="J63" s="251"/>
    </row>
    <row r="64" spans="1:10" ht="15.6" x14ac:dyDescent="0.3">
      <c r="A64" s="252" t="s">
        <v>488</v>
      </c>
      <c r="B64" s="252"/>
      <c r="C64" s="252"/>
      <c r="D64" s="252"/>
      <c r="E64" s="252"/>
      <c r="F64" s="252"/>
      <c r="G64" s="252"/>
      <c r="H64" s="252"/>
      <c r="I64" s="252"/>
      <c r="J64" s="252"/>
    </row>
    <row r="65" spans="1:10" ht="38.1" customHeight="1" x14ac:dyDescent="0.3">
      <c r="A65" s="239" t="s">
        <v>487</v>
      </c>
      <c r="B65" s="240"/>
      <c r="C65" s="240"/>
      <c r="D65" s="240"/>
      <c r="E65" s="240"/>
      <c r="F65" s="240"/>
      <c r="G65" s="240"/>
      <c r="H65" s="240"/>
      <c r="I65" s="240"/>
      <c r="J65" s="241"/>
    </row>
    <row r="66" spans="1:10" ht="59.1" customHeight="1" x14ac:dyDescent="0.3">
      <c r="A66" s="267" t="s">
        <v>480</v>
      </c>
      <c r="B66" s="268"/>
      <c r="C66" s="268"/>
      <c r="D66" s="268"/>
      <c r="E66" s="268"/>
      <c r="F66" s="268"/>
      <c r="G66" s="268"/>
      <c r="H66" s="268"/>
      <c r="I66" s="268"/>
      <c r="J66" s="269"/>
    </row>
    <row r="67" spans="1:10" ht="71.099999999999994" customHeight="1" x14ac:dyDescent="0.3">
      <c r="A67" s="252" t="s">
        <v>486</v>
      </c>
      <c r="B67" s="252"/>
      <c r="C67" s="252"/>
      <c r="D67" s="252"/>
      <c r="E67" s="252"/>
      <c r="F67" s="252"/>
      <c r="G67" s="252"/>
      <c r="H67" s="252"/>
      <c r="I67" s="252"/>
      <c r="J67" s="252"/>
    </row>
    <row r="68" spans="1:10" ht="108.9" customHeight="1" x14ac:dyDescent="0.3">
      <c r="A68" s="262" t="s">
        <v>485</v>
      </c>
      <c r="B68" s="262"/>
      <c r="C68" s="262"/>
      <c r="D68" s="262"/>
      <c r="E68" s="262"/>
      <c r="F68" s="262"/>
      <c r="G68" s="262"/>
      <c r="H68" s="262"/>
      <c r="I68" s="262"/>
      <c r="J68" s="262"/>
    </row>
    <row r="69" spans="1:10" ht="39.9" customHeight="1" x14ac:dyDescent="0.3">
      <c r="A69" s="265" t="s">
        <v>528</v>
      </c>
      <c r="B69" s="265"/>
      <c r="C69" s="265"/>
      <c r="D69" s="265"/>
      <c r="E69" s="265"/>
      <c r="F69" s="265"/>
      <c r="G69" s="265"/>
      <c r="H69" s="265"/>
      <c r="I69" s="265"/>
      <c r="J69" s="265"/>
    </row>
    <row r="70" spans="1:10" ht="174" customHeight="1" x14ac:dyDescent="0.3">
      <c r="A70" s="252" t="s">
        <v>484</v>
      </c>
      <c r="B70" s="270"/>
      <c r="C70" s="270"/>
      <c r="D70" s="270"/>
      <c r="E70" s="270"/>
      <c r="F70" s="270"/>
      <c r="G70" s="270"/>
      <c r="H70" s="270"/>
      <c r="I70" s="270"/>
      <c r="J70" s="270"/>
    </row>
    <row r="71" spans="1:10" ht="116.1" customHeight="1" x14ac:dyDescent="0.3">
      <c r="A71" s="262" t="s">
        <v>483</v>
      </c>
      <c r="B71" s="262"/>
      <c r="C71" s="262"/>
      <c r="D71" s="262"/>
      <c r="E71" s="262"/>
      <c r="F71" s="262"/>
      <c r="G71" s="262"/>
      <c r="H71" s="262"/>
      <c r="I71" s="262"/>
      <c r="J71" s="262"/>
    </row>
    <row r="72" spans="1:10" ht="60" customHeight="1" x14ac:dyDescent="0.3">
      <c r="A72" s="263" t="s">
        <v>480</v>
      </c>
      <c r="B72" s="263"/>
      <c r="C72" s="263"/>
      <c r="D72" s="263"/>
      <c r="E72" s="263"/>
      <c r="F72" s="263"/>
      <c r="G72" s="263"/>
      <c r="H72" s="263"/>
      <c r="I72" s="263"/>
      <c r="J72" s="263"/>
    </row>
    <row r="73" spans="1:10" ht="50.1" customHeight="1" x14ac:dyDescent="0.3">
      <c r="A73" s="252" t="s">
        <v>482</v>
      </c>
      <c r="B73" s="264"/>
      <c r="C73" s="264"/>
      <c r="D73" s="264"/>
      <c r="E73" s="264"/>
      <c r="F73" s="264"/>
      <c r="G73" s="264"/>
      <c r="H73" s="264"/>
      <c r="I73" s="264"/>
      <c r="J73" s="264"/>
    </row>
    <row r="74" spans="1:10" ht="69" customHeight="1" x14ac:dyDescent="0.3">
      <c r="A74" s="262" t="s">
        <v>481</v>
      </c>
      <c r="B74" s="262"/>
      <c r="C74" s="262"/>
      <c r="D74" s="262"/>
      <c r="E74" s="262"/>
      <c r="F74" s="262"/>
      <c r="G74" s="262"/>
      <c r="H74" s="262"/>
      <c r="I74" s="262"/>
      <c r="J74" s="262"/>
    </row>
    <row r="75" spans="1:10" ht="45" customHeight="1" x14ac:dyDescent="0.3">
      <c r="A75" s="265" t="s">
        <v>480</v>
      </c>
      <c r="B75" s="265"/>
      <c r="C75" s="265"/>
      <c r="D75" s="265"/>
      <c r="E75" s="265"/>
      <c r="F75" s="265"/>
      <c r="G75" s="265"/>
      <c r="H75" s="265"/>
      <c r="I75" s="265"/>
      <c r="J75" s="265"/>
    </row>
    <row r="76" spans="1:10" x14ac:dyDescent="0.3">
      <c r="A76" s="266"/>
      <c r="B76" s="266"/>
      <c r="C76" s="266"/>
      <c r="D76" s="266"/>
      <c r="E76" s="266"/>
      <c r="F76" s="266"/>
      <c r="G76" s="266"/>
      <c r="H76" s="266"/>
      <c r="I76" s="266"/>
      <c r="J76" s="266"/>
    </row>
    <row r="79" spans="1:10" x14ac:dyDescent="0.3">
      <c r="A79" s="266" t="s">
        <v>529</v>
      </c>
      <c r="B79" s="266"/>
      <c r="C79" s="266"/>
      <c r="D79" s="266"/>
      <c r="E79" s="266"/>
      <c r="F79" s="266"/>
      <c r="G79" s="266"/>
      <c r="H79" s="266"/>
      <c r="I79" s="266"/>
      <c r="J79" s="266"/>
    </row>
    <row r="80" spans="1:10" x14ac:dyDescent="0.3">
      <c r="A80" s="253" t="s">
        <v>492</v>
      </c>
      <c r="B80" s="253"/>
      <c r="C80" s="253"/>
      <c r="D80" s="253"/>
      <c r="E80" s="253"/>
      <c r="F80" s="253"/>
      <c r="G80" s="253"/>
      <c r="H80" s="253"/>
      <c r="I80" s="253"/>
      <c r="J80" s="253"/>
    </row>
    <row r="81" spans="1:10" ht="198" customHeight="1" x14ac:dyDescent="0.3">
      <c r="A81" s="256" t="s">
        <v>525</v>
      </c>
      <c r="B81" s="256"/>
      <c r="C81" s="256"/>
      <c r="D81" s="256"/>
      <c r="E81" s="256"/>
      <c r="F81" s="256"/>
      <c r="G81" s="256"/>
      <c r="H81" s="256"/>
      <c r="I81" s="256"/>
      <c r="J81" s="256"/>
    </row>
    <row r="82" spans="1:10" ht="15.6" x14ac:dyDescent="0.3">
      <c r="A82" s="257" t="s">
        <v>526</v>
      </c>
      <c r="B82" s="258"/>
      <c r="C82" s="258"/>
      <c r="D82" s="258"/>
      <c r="E82" s="258"/>
      <c r="F82" s="258"/>
      <c r="G82" s="258"/>
      <c r="H82" s="258"/>
      <c r="I82" s="258"/>
      <c r="J82" s="259"/>
    </row>
    <row r="83" spans="1:10" ht="51.9" customHeight="1" x14ac:dyDescent="0.3">
      <c r="A83" s="260" t="s">
        <v>480</v>
      </c>
      <c r="B83" s="260"/>
      <c r="C83" s="260"/>
      <c r="D83" s="260"/>
      <c r="E83" s="260"/>
      <c r="F83" s="260"/>
      <c r="G83" s="260"/>
      <c r="H83" s="260"/>
      <c r="I83" s="260"/>
      <c r="J83" s="260"/>
    </row>
    <row r="84" spans="1:10" ht="105.9" customHeight="1" x14ac:dyDescent="0.3">
      <c r="A84" s="252" t="s">
        <v>491</v>
      </c>
      <c r="B84" s="261"/>
      <c r="C84" s="261"/>
      <c r="D84" s="261"/>
      <c r="E84" s="261"/>
      <c r="F84" s="261"/>
      <c r="G84" s="261"/>
      <c r="H84" s="261"/>
      <c r="I84" s="261"/>
      <c r="J84" s="261"/>
    </row>
    <row r="85" spans="1:10" ht="266.10000000000002" customHeight="1" x14ac:dyDescent="0.3">
      <c r="A85" s="239" t="s">
        <v>490</v>
      </c>
      <c r="B85" s="240"/>
      <c r="C85" s="240"/>
      <c r="D85" s="240"/>
      <c r="E85" s="240"/>
      <c r="F85" s="240"/>
      <c r="G85" s="240"/>
      <c r="H85" s="240"/>
      <c r="I85" s="240"/>
      <c r="J85" s="241"/>
    </row>
    <row r="86" spans="1:10" ht="50.1" customHeight="1" x14ac:dyDescent="0.3">
      <c r="A86" s="242" t="s">
        <v>480</v>
      </c>
      <c r="B86" s="243"/>
      <c r="C86" s="243"/>
      <c r="D86" s="243"/>
      <c r="E86" s="243"/>
      <c r="F86" s="243"/>
      <c r="G86" s="243"/>
      <c r="H86" s="243"/>
      <c r="I86" s="243"/>
      <c r="J86" s="244"/>
    </row>
    <row r="87" spans="1:10" ht="69" customHeight="1" x14ac:dyDescent="0.3">
      <c r="A87" s="245" t="s">
        <v>527</v>
      </c>
      <c r="B87" s="246"/>
      <c r="C87" s="246"/>
      <c r="D87" s="246"/>
      <c r="E87" s="246"/>
      <c r="F87" s="246"/>
      <c r="G87" s="246"/>
      <c r="H87" s="246"/>
      <c r="I87" s="246"/>
      <c r="J87" s="247"/>
    </row>
    <row r="88" spans="1:10" ht="123.9" customHeight="1" x14ac:dyDescent="0.3">
      <c r="A88" s="248" t="s">
        <v>489</v>
      </c>
      <c r="B88" s="248"/>
      <c r="C88" s="248"/>
      <c r="D88" s="248"/>
      <c r="E88" s="248"/>
      <c r="F88" s="248"/>
      <c r="G88" s="248"/>
      <c r="H88" s="248"/>
      <c r="I88" s="248"/>
      <c r="J88" s="248"/>
    </row>
    <row r="89" spans="1:10" ht="60" customHeight="1" x14ac:dyDescent="0.3">
      <c r="A89" s="249" t="s">
        <v>480</v>
      </c>
      <c r="B89" s="250"/>
      <c r="C89" s="250"/>
      <c r="D89" s="250"/>
      <c r="E89" s="250"/>
      <c r="F89" s="250"/>
      <c r="G89" s="250"/>
      <c r="H89" s="250"/>
      <c r="I89" s="250"/>
      <c r="J89" s="251"/>
    </row>
    <row r="90" spans="1:10" ht="66.900000000000006" customHeight="1" x14ac:dyDescent="0.3">
      <c r="A90" s="252" t="s">
        <v>488</v>
      </c>
      <c r="B90" s="252"/>
      <c r="C90" s="252"/>
      <c r="D90" s="252"/>
      <c r="E90" s="252"/>
      <c r="F90" s="252"/>
      <c r="G90" s="252"/>
      <c r="H90" s="252"/>
      <c r="I90" s="252"/>
      <c r="J90" s="252"/>
    </row>
    <row r="91" spans="1:10" ht="72" customHeight="1" x14ac:dyDescent="0.3">
      <c r="A91" s="239" t="s">
        <v>487</v>
      </c>
      <c r="B91" s="240"/>
      <c r="C91" s="240"/>
      <c r="D91" s="240"/>
      <c r="E91" s="240"/>
      <c r="F91" s="240"/>
      <c r="G91" s="240"/>
      <c r="H91" s="240"/>
      <c r="I91" s="240"/>
      <c r="J91" s="241"/>
    </row>
    <row r="92" spans="1:10" ht="81.900000000000006" customHeight="1" x14ac:dyDescent="0.3">
      <c r="A92" s="267" t="s">
        <v>480</v>
      </c>
      <c r="B92" s="268"/>
      <c r="C92" s="268"/>
      <c r="D92" s="268"/>
      <c r="E92" s="268"/>
      <c r="F92" s="268"/>
      <c r="G92" s="268"/>
      <c r="H92" s="268"/>
      <c r="I92" s="268"/>
      <c r="J92" s="269"/>
    </row>
    <row r="93" spans="1:10" ht="75.900000000000006" customHeight="1" x14ac:dyDescent="0.3">
      <c r="A93" s="252" t="s">
        <v>486</v>
      </c>
      <c r="B93" s="252"/>
      <c r="C93" s="252"/>
      <c r="D93" s="252"/>
      <c r="E93" s="252"/>
      <c r="F93" s="252"/>
      <c r="G93" s="252"/>
      <c r="H93" s="252"/>
      <c r="I93" s="252"/>
      <c r="J93" s="252"/>
    </row>
    <row r="94" spans="1:10" ht="105.9" customHeight="1" x14ac:dyDescent="0.3">
      <c r="A94" s="262" t="s">
        <v>485</v>
      </c>
      <c r="B94" s="262"/>
      <c r="C94" s="262"/>
      <c r="D94" s="262"/>
      <c r="E94" s="262"/>
      <c r="F94" s="262"/>
      <c r="G94" s="262"/>
      <c r="H94" s="262"/>
      <c r="I94" s="262"/>
      <c r="J94" s="262"/>
    </row>
    <row r="95" spans="1:10" ht="29.1" customHeight="1" x14ac:dyDescent="0.3">
      <c r="A95" s="265" t="s">
        <v>528</v>
      </c>
      <c r="B95" s="265"/>
      <c r="C95" s="265"/>
      <c r="D95" s="265"/>
      <c r="E95" s="265"/>
      <c r="F95" s="265"/>
      <c r="G95" s="265"/>
      <c r="H95" s="265"/>
      <c r="I95" s="265"/>
      <c r="J95" s="265"/>
    </row>
    <row r="96" spans="1:10" ht="174" customHeight="1" x14ac:dyDescent="0.3">
      <c r="A96" s="252" t="s">
        <v>484</v>
      </c>
      <c r="B96" s="270"/>
      <c r="C96" s="270"/>
      <c r="D96" s="270"/>
      <c r="E96" s="270"/>
      <c r="F96" s="270"/>
      <c r="G96" s="270"/>
      <c r="H96" s="270"/>
      <c r="I96" s="270"/>
      <c r="J96" s="270"/>
    </row>
    <row r="97" spans="1:10" ht="117" customHeight="1" x14ac:dyDescent="0.3">
      <c r="A97" s="262" t="s">
        <v>483</v>
      </c>
      <c r="B97" s="262"/>
      <c r="C97" s="262"/>
      <c r="D97" s="262"/>
      <c r="E97" s="262"/>
      <c r="F97" s="262"/>
      <c r="G97" s="262"/>
      <c r="H97" s="262"/>
      <c r="I97" s="262"/>
      <c r="J97" s="262"/>
    </row>
    <row r="98" spans="1:10" ht="98.1" customHeight="1" x14ac:dyDescent="0.3">
      <c r="A98" s="263" t="s">
        <v>480</v>
      </c>
      <c r="B98" s="263"/>
      <c r="C98" s="263"/>
      <c r="D98" s="263"/>
      <c r="E98" s="263"/>
      <c r="F98" s="263"/>
      <c r="G98" s="263"/>
      <c r="H98" s="263"/>
      <c r="I98" s="263"/>
      <c r="J98" s="263"/>
    </row>
    <row r="99" spans="1:10" ht="57" customHeight="1" x14ac:dyDescent="0.3">
      <c r="A99" s="252" t="s">
        <v>482</v>
      </c>
      <c r="B99" s="264"/>
      <c r="C99" s="264"/>
      <c r="D99" s="264"/>
      <c r="E99" s="264"/>
      <c r="F99" s="264"/>
      <c r="G99" s="264"/>
      <c r="H99" s="264"/>
      <c r="I99" s="264"/>
      <c r="J99" s="264"/>
    </row>
    <row r="100" spans="1:10" ht="63" customHeight="1" x14ac:dyDescent="0.3">
      <c r="A100" s="262" t="s">
        <v>481</v>
      </c>
      <c r="B100" s="262"/>
      <c r="C100" s="262"/>
      <c r="D100" s="262"/>
      <c r="E100" s="262"/>
      <c r="F100" s="262"/>
      <c r="G100" s="262"/>
      <c r="H100" s="262"/>
      <c r="I100" s="262"/>
      <c r="J100" s="262"/>
    </row>
    <row r="101" spans="1:10" ht="75" customHeight="1" x14ac:dyDescent="0.3">
      <c r="A101" s="265" t="s">
        <v>480</v>
      </c>
      <c r="B101" s="265"/>
      <c r="C101" s="265"/>
      <c r="D101" s="265"/>
      <c r="E101" s="265"/>
      <c r="F101" s="265"/>
      <c r="G101" s="265"/>
      <c r="H101" s="265"/>
      <c r="I101" s="265"/>
      <c r="J101" s="265"/>
    </row>
    <row r="102" spans="1:10" x14ac:dyDescent="0.3">
      <c r="A102" s="266"/>
      <c r="B102" s="266"/>
      <c r="C102" s="266"/>
      <c r="D102" s="266"/>
      <c r="E102" s="266"/>
      <c r="F102" s="266"/>
      <c r="G102" s="266"/>
      <c r="H102" s="266"/>
      <c r="I102" s="266"/>
      <c r="J102" s="266"/>
    </row>
    <row r="105" spans="1:10" x14ac:dyDescent="0.3">
      <c r="A105" s="266" t="s">
        <v>529</v>
      </c>
      <c r="B105" s="266"/>
      <c r="C105" s="266"/>
      <c r="D105" s="266"/>
      <c r="E105" s="266"/>
      <c r="F105" s="266"/>
      <c r="G105" s="266"/>
      <c r="H105" s="266"/>
      <c r="I105" s="266"/>
      <c r="J105" s="266"/>
    </row>
    <row r="106" spans="1:10" x14ac:dyDescent="0.3">
      <c r="A106" s="253" t="s">
        <v>492</v>
      </c>
      <c r="B106" s="253"/>
      <c r="C106" s="253"/>
      <c r="D106" s="253"/>
      <c r="E106" s="253"/>
      <c r="F106" s="253"/>
      <c r="G106" s="253"/>
      <c r="H106" s="253"/>
      <c r="I106" s="253"/>
      <c r="J106" s="253"/>
    </row>
    <row r="107" spans="1:10" ht="201.9" customHeight="1" x14ac:dyDescent="0.3">
      <c r="A107" s="256" t="s">
        <v>525</v>
      </c>
      <c r="B107" s="256"/>
      <c r="C107" s="256"/>
      <c r="D107" s="256"/>
      <c r="E107" s="256"/>
      <c r="F107" s="256"/>
      <c r="G107" s="256"/>
      <c r="H107" s="256"/>
      <c r="I107" s="256"/>
      <c r="J107" s="256"/>
    </row>
    <row r="108" spans="1:10" ht="38.1" customHeight="1" x14ac:dyDescent="0.3">
      <c r="A108" s="257" t="s">
        <v>526</v>
      </c>
      <c r="B108" s="258"/>
      <c r="C108" s="258"/>
      <c r="D108" s="258"/>
      <c r="E108" s="258"/>
      <c r="F108" s="258"/>
      <c r="G108" s="258"/>
      <c r="H108" s="258"/>
      <c r="I108" s="258"/>
      <c r="J108" s="259"/>
    </row>
    <row r="109" spans="1:10" ht="66.900000000000006" customHeight="1" x14ac:dyDescent="0.3">
      <c r="A109" s="260" t="s">
        <v>480</v>
      </c>
      <c r="B109" s="260"/>
      <c r="C109" s="260"/>
      <c r="D109" s="260"/>
      <c r="E109" s="260"/>
      <c r="F109" s="260"/>
      <c r="G109" s="260"/>
      <c r="H109" s="260"/>
      <c r="I109" s="260"/>
      <c r="J109" s="260"/>
    </row>
    <row r="110" spans="1:10" ht="102.9" customHeight="1" x14ac:dyDescent="0.3">
      <c r="A110" s="252" t="s">
        <v>491</v>
      </c>
      <c r="B110" s="261"/>
      <c r="C110" s="261"/>
      <c r="D110" s="261"/>
      <c r="E110" s="261"/>
      <c r="F110" s="261"/>
      <c r="G110" s="261"/>
      <c r="H110" s="261"/>
      <c r="I110" s="261"/>
      <c r="J110" s="261"/>
    </row>
    <row r="111" spans="1:10" ht="261" customHeight="1" x14ac:dyDescent="0.3">
      <c r="A111" s="239" t="s">
        <v>490</v>
      </c>
      <c r="B111" s="240"/>
      <c r="C111" s="240"/>
      <c r="D111" s="240"/>
      <c r="E111" s="240"/>
      <c r="F111" s="240"/>
      <c r="G111" s="240"/>
      <c r="H111" s="240"/>
      <c r="I111" s="240"/>
      <c r="J111" s="241"/>
    </row>
    <row r="112" spans="1:10" ht="81.900000000000006" customHeight="1" x14ac:dyDescent="0.3">
      <c r="A112" s="242" t="s">
        <v>480</v>
      </c>
      <c r="B112" s="243"/>
      <c r="C112" s="243"/>
      <c r="D112" s="243"/>
      <c r="E112" s="243"/>
      <c r="F112" s="243"/>
      <c r="G112" s="243"/>
      <c r="H112" s="243"/>
      <c r="I112" s="243"/>
      <c r="J112" s="244"/>
    </row>
    <row r="113" spans="1:10" ht="69.900000000000006" customHeight="1" x14ac:dyDescent="0.3">
      <c r="A113" s="245" t="s">
        <v>527</v>
      </c>
      <c r="B113" s="246"/>
      <c r="C113" s="246"/>
      <c r="D113" s="246"/>
      <c r="E113" s="246"/>
      <c r="F113" s="246"/>
      <c r="G113" s="246"/>
      <c r="H113" s="246"/>
      <c r="I113" s="246"/>
      <c r="J113" s="247"/>
    </row>
    <row r="114" spans="1:10" ht="132" customHeight="1" x14ac:dyDescent="0.3">
      <c r="A114" s="248" t="s">
        <v>489</v>
      </c>
      <c r="B114" s="248"/>
      <c r="C114" s="248"/>
      <c r="D114" s="248"/>
      <c r="E114" s="248"/>
      <c r="F114" s="248"/>
      <c r="G114" s="248"/>
      <c r="H114" s="248"/>
      <c r="I114" s="248"/>
      <c r="J114" s="248"/>
    </row>
    <row r="115" spans="1:10" ht="102.9" customHeight="1" x14ac:dyDescent="0.3">
      <c r="A115" s="249" t="s">
        <v>480</v>
      </c>
      <c r="B115" s="250"/>
      <c r="C115" s="250"/>
      <c r="D115" s="250"/>
      <c r="E115" s="250"/>
      <c r="F115" s="250"/>
      <c r="G115" s="250"/>
      <c r="H115" s="250"/>
      <c r="I115" s="250"/>
      <c r="J115" s="251"/>
    </row>
    <row r="116" spans="1:10" ht="74.099999999999994" customHeight="1" x14ac:dyDescent="0.3">
      <c r="A116" s="252" t="s">
        <v>488</v>
      </c>
      <c r="B116" s="252"/>
      <c r="C116" s="252"/>
      <c r="D116" s="252"/>
      <c r="E116" s="252"/>
      <c r="F116" s="252"/>
      <c r="G116" s="252"/>
      <c r="H116" s="252"/>
      <c r="I116" s="252"/>
      <c r="J116" s="252"/>
    </row>
    <row r="117" spans="1:10" ht="33.9" customHeight="1" x14ac:dyDescent="0.3">
      <c r="A117" s="239" t="s">
        <v>487</v>
      </c>
      <c r="B117" s="240"/>
      <c r="C117" s="240"/>
      <c r="D117" s="240"/>
      <c r="E117" s="240"/>
      <c r="F117" s="240"/>
      <c r="G117" s="240"/>
      <c r="H117" s="240"/>
      <c r="I117" s="240"/>
      <c r="J117" s="241"/>
    </row>
    <row r="118" spans="1:10" ht="126.9" customHeight="1" x14ac:dyDescent="0.3">
      <c r="A118" s="267" t="s">
        <v>480</v>
      </c>
      <c r="B118" s="268"/>
      <c r="C118" s="268"/>
      <c r="D118" s="268"/>
      <c r="E118" s="268"/>
      <c r="F118" s="268"/>
      <c r="G118" s="268"/>
      <c r="H118" s="268"/>
      <c r="I118" s="268"/>
      <c r="J118" s="269"/>
    </row>
    <row r="119" spans="1:10" ht="68.099999999999994" customHeight="1" x14ac:dyDescent="0.3">
      <c r="A119" s="252" t="s">
        <v>486</v>
      </c>
      <c r="B119" s="252"/>
      <c r="C119" s="252"/>
      <c r="D119" s="252"/>
      <c r="E119" s="252"/>
      <c r="F119" s="252"/>
      <c r="G119" s="252"/>
      <c r="H119" s="252"/>
      <c r="I119" s="252"/>
      <c r="J119" s="252"/>
    </row>
    <row r="120" spans="1:10" ht="111.9" customHeight="1" x14ac:dyDescent="0.3">
      <c r="A120" s="262" t="s">
        <v>485</v>
      </c>
      <c r="B120" s="262"/>
      <c r="C120" s="262"/>
      <c r="D120" s="262"/>
      <c r="E120" s="262"/>
      <c r="F120" s="262"/>
      <c r="G120" s="262"/>
      <c r="H120" s="262"/>
      <c r="I120" s="262"/>
      <c r="J120" s="262"/>
    </row>
    <row r="121" spans="1:10" ht="54" customHeight="1" x14ac:dyDescent="0.3">
      <c r="A121" s="265" t="s">
        <v>528</v>
      </c>
      <c r="B121" s="265"/>
      <c r="C121" s="265"/>
      <c r="D121" s="265"/>
      <c r="E121" s="265"/>
      <c r="F121" s="265"/>
      <c r="G121" s="265"/>
      <c r="H121" s="265"/>
      <c r="I121" s="265"/>
      <c r="J121" s="265"/>
    </row>
    <row r="122" spans="1:10" ht="168.9" customHeight="1" x14ac:dyDescent="0.3">
      <c r="A122" s="252" t="s">
        <v>484</v>
      </c>
      <c r="B122" s="270"/>
      <c r="C122" s="270"/>
      <c r="D122" s="270"/>
      <c r="E122" s="270"/>
      <c r="F122" s="270"/>
      <c r="G122" s="270"/>
      <c r="H122" s="270"/>
      <c r="I122" s="270"/>
      <c r="J122" s="270"/>
    </row>
    <row r="123" spans="1:10" ht="116.1" customHeight="1" x14ac:dyDescent="0.3">
      <c r="A123" s="262" t="s">
        <v>483</v>
      </c>
      <c r="B123" s="262"/>
      <c r="C123" s="262"/>
      <c r="D123" s="262"/>
      <c r="E123" s="262"/>
      <c r="F123" s="262"/>
      <c r="G123" s="262"/>
      <c r="H123" s="262"/>
      <c r="I123" s="262"/>
      <c r="J123" s="262"/>
    </row>
    <row r="124" spans="1:10" ht="93" customHeight="1" x14ac:dyDescent="0.3">
      <c r="A124" s="263" t="s">
        <v>480</v>
      </c>
      <c r="B124" s="263"/>
      <c r="C124" s="263"/>
      <c r="D124" s="263"/>
      <c r="E124" s="263"/>
      <c r="F124" s="263"/>
      <c r="G124" s="263"/>
      <c r="H124" s="263"/>
      <c r="I124" s="263"/>
      <c r="J124" s="263"/>
    </row>
    <row r="125" spans="1:10" ht="60.9" customHeight="1" x14ac:dyDescent="0.3">
      <c r="A125" s="252" t="s">
        <v>482</v>
      </c>
      <c r="B125" s="264"/>
      <c r="C125" s="264"/>
      <c r="D125" s="264"/>
      <c r="E125" s="264"/>
      <c r="F125" s="264"/>
      <c r="G125" s="264"/>
      <c r="H125" s="264"/>
      <c r="I125" s="264"/>
      <c r="J125" s="264"/>
    </row>
    <row r="126" spans="1:10" ht="66" customHeight="1" x14ac:dyDescent="0.3">
      <c r="A126" s="262" t="s">
        <v>481</v>
      </c>
      <c r="B126" s="262"/>
      <c r="C126" s="262"/>
      <c r="D126" s="262"/>
      <c r="E126" s="262"/>
      <c r="F126" s="262"/>
      <c r="G126" s="262"/>
      <c r="H126" s="262"/>
      <c r="I126" s="262"/>
      <c r="J126" s="262"/>
    </row>
    <row r="127" spans="1:10" ht="90.9" customHeight="1" x14ac:dyDescent="0.3">
      <c r="A127" s="265" t="s">
        <v>480</v>
      </c>
      <c r="B127" s="265"/>
      <c r="C127" s="265"/>
      <c r="D127" s="265"/>
      <c r="E127" s="265"/>
      <c r="F127" s="265"/>
      <c r="G127" s="265"/>
      <c r="H127" s="265"/>
      <c r="I127" s="265"/>
      <c r="J127" s="265"/>
    </row>
    <row r="128" spans="1:10" x14ac:dyDescent="0.3">
      <c r="A128" s="266"/>
      <c r="B128" s="266"/>
      <c r="C128" s="266"/>
      <c r="D128" s="266"/>
      <c r="E128" s="266"/>
      <c r="F128" s="266"/>
      <c r="G128" s="266"/>
      <c r="H128" s="266"/>
      <c r="I128" s="266"/>
      <c r="J128" s="266"/>
    </row>
    <row r="131" spans="1:10" x14ac:dyDescent="0.3">
      <c r="A131" s="266" t="s">
        <v>529</v>
      </c>
      <c r="B131" s="266"/>
      <c r="C131" s="266"/>
      <c r="D131" s="266"/>
      <c r="E131" s="266"/>
      <c r="F131" s="266"/>
      <c r="G131" s="266"/>
      <c r="H131" s="266"/>
      <c r="I131" s="266"/>
      <c r="J131" s="266"/>
    </row>
    <row r="132" spans="1:10" x14ac:dyDescent="0.3">
      <c r="A132" s="253" t="s">
        <v>492</v>
      </c>
      <c r="B132" s="253"/>
      <c r="C132" s="253"/>
      <c r="D132" s="253"/>
      <c r="E132" s="253"/>
      <c r="F132" s="253"/>
      <c r="G132" s="253"/>
      <c r="H132" s="253"/>
      <c r="I132" s="253"/>
      <c r="J132" s="253"/>
    </row>
    <row r="133" spans="1:10" ht="204" customHeight="1" x14ac:dyDescent="0.3">
      <c r="A133" s="256" t="s">
        <v>525</v>
      </c>
      <c r="B133" s="256"/>
      <c r="C133" s="256"/>
      <c r="D133" s="256"/>
      <c r="E133" s="256"/>
      <c r="F133" s="256"/>
      <c r="G133" s="256"/>
      <c r="H133" s="256"/>
      <c r="I133" s="256"/>
      <c r="J133" s="256"/>
    </row>
    <row r="134" spans="1:10" ht="30.9" customHeight="1" x14ac:dyDescent="0.3">
      <c r="A134" s="257" t="s">
        <v>526</v>
      </c>
      <c r="B134" s="258"/>
      <c r="C134" s="258"/>
      <c r="D134" s="258"/>
      <c r="E134" s="258"/>
      <c r="F134" s="258"/>
      <c r="G134" s="258"/>
      <c r="H134" s="258"/>
      <c r="I134" s="258"/>
      <c r="J134" s="259"/>
    </row>
    <row r="135" spans="1:10" ht="69" customHeight="1" x14ac:dyDescent="0.3">
      <c r="A135" s="260" t="s">
        <v>480</v>
      </c>
      <c r="B135" s="260"/>
      <c r="C135" s="260"/>
      <c r="D135" s="260"/>
      <c r="E135" s="260"/>
      <c r="F135" s="260"/>
      <c r="G135" s="260"/>
      <c r="H135" s="260"/>
      <c r="I135" s="260"/>
      <c r="J135" s="260"/>
    </row>
    <row r="136" spans="1:10" ht="105.9" customHeight="1" x14ac:dyDescent="0.3">
      <c r="A136" s="252" t="s">
        <v>491</v>
      </c>
      <c r="B136" s="261"/>
      <c r="C136" s="261"/>
      <c r="D136" s="261"/>
      <c r="E136" s="261"/>
      <c r="F136" s="261"/>
      <c r="G136" s="261"/>
      <c r="H136" s="261"/>
      <c r="I136" s="261"/>
      <c r="J136" s="261"/>
    </row>
    <row r="137" spans="1:10" ht="267.89999999999998" customHeight="1" x14ac:dyDescent="0.3">
      <c r="A137" s="239" t="s">
        <v>490</v>
      </c>
      <c r="B137" s="240"/>
      <c r="C137" s="240"/>
      <c r="D137" s="240"/>
      <c r="E137" s="240"/>
      <c r="F137" s="240"/>
      <c r="G137" s="240"/>
      <c r="H137" s="240"/>
      <c r="I137" s="240"/>
      <c r="J137" s="241"/>
    </row>
    <row r="138" spans="1:10" ht="87" customHeight="1" x14ac:dyDescent="0.3">
      <c r="A138" s="242" t="s">
        <v>480</v>
      </c>
      <c r="B138" s="243"/>
      <c r="C138" s="243"/>
      <c r="D138" s="243"/>
      <c r="E138" s="243"/>
      <c r="F138" s="243"/>
      <c r="G138" s="243"/>
      <c r="H138" s="243"/>
      <c r="I138" s="243"/>
      <c r="J138" s="244"/>
    </row>
    <row r="139" spans="1:10" ht="69" customHeight="1" x14ac:dyDescent="0.3">
      <c r="A139" s="245" t="s">
        <v>527</v>
      </c>
      <c r="B139" s="246"/>
      <c r="C139" s="246"/>
      <c r="D139" s="246"/>
      <c r="E139" s="246"/>
      <c r="F139" s="246"/>
      <c r="G139" s="246"/>
      <c r="H139" s="246"/>
      <c r="I139" s="246"/>
      <c r="J139" s="247"/>
    </row>
    <row r="140" spans="1:10" ht="126.9" customHeight="1" x14ac:dyDescent="0.3">
      <c r="A140" s="248" t="s">
        <v>489</v>
      </c>
      <c r="B140" s="248"/>
      <c r="C140" s="248"/>
      <c r="D140" s="248"/>
      <c r="E140" s="248"/>
      <c r="F140" s="248"/>
      <c r="G140" s="248"/>
      <c r="H140" s="248"/>
      <c r="I140" s="248"/>
      <c r="J140" s="248"/>
    </row>
    <row r="141" spans="1:10" ht="83.1" customHeight="1" x14ac:dyDescent="0.3">
      <c r="A141" s="249" t="s">
        <v>480</v>
      </c>
      <c r="B141" s="250"/>
      <c r="C141" s="250"/>
      <c r="D141" s="250"/>
      <c r="E141" s="250"/>
      <c r="F141" s="250"/>
      <c r="G141" s="250"/>
      <c r="H141" s="250"/>
      <c r="I141" s="250"/>
      <c r="J141" s="251"/>
    </row>
    <row r="142" spans="1:10" ht="75.900000000000006" customHeight="1" x14ac:dyDescent="0.3">
      <c r="A142" s="252" t="s">
        <v>488</v>
      </c>
      <c r="B142" s="252"/>
      <c r="C142" s="252"/>
      <c r="D142" s="252"/>
      <c r="E142" s="252"/>
      <c r="F142" s="252"/>
      <c r="G142" s="252"/>
      <c r="H142" s="252"/>
      <c r="I142" s="252"/>
      <c r="J142" s="252"/>
    </row>
    <row r="143" spans="1:10" ht="71.099999999999994" customHeight="1" x14ac:dyDescent="0.3">
      <c r="A143" s="239" t="s">
        <v>487</v>
      </c>
      <c r="B143" s="240"/>
      <c r="C143" s="240"/>
      <c r="D143" s="240"/>
      <c r="E143" s="240"/>
      <c r="F143" s="240"/>
      <c r="G143" s="240"/>
      <c r="H143" s="240"/>
      <c r="I143" s="240"/>
      <c r="J143" s="241"/>
    </row>
    <row r="144" spans="1:10" ht="77.099999999999994" customHeight="1" x14ac:dyDescent="0.3">
      <c r="A144" s="267" t="s">
        <v>480</v>
      </c>
      <c r="B144" s="268"/>
      <c r="C144" s="268"/>
      <c r="D144" s="268"/>
      <c r="E144" s="268"/>
      <c r="F144" s="268"/>
      <c r="G144" s="268"/>
      <c r="H144" s="268"/>
      <c r="I144" s="268"/>
      <c r="J144" s="269"/>
    </row>
    <row r="145" spans="1:10" ht="75" customHeight="1" x14ac:dyDescent="0.3">
      <c r="A145" s="252" t="s">
        <v>486</v>
      </c>
      <c r="B145" s="252"/>
      <c r="C145" s="252"/>
      <c r="D145" s="252"/>
      <c r="E145" s="252"/>
      <c r="F145" s="252"/>
      <c r="G145" s="252"/>
      <c r="H145" s="252"/>
      <c r="I145" s="252"/>
      <c r="J145" s="252"/>
    </row>
    <row r="146" spans="1:10" ht="108.9" customHeight="1" x14ac:dyDescent="0.3">
      <c r="A146" s="262" t="s">
        <v>485</v>
      </c>
      <c r="B146" s="262"/>
      <c r="C146" s="262"/>
      <c r="D146" s="262"/>
      <c r="E146" s="262"/>
      <c r="F146" s="262"/>
      <c r="G146" s="262"/>
      <c r="H146" s="262"/>
      <c r="I146" s="262"/>
      <c r="J146" s="262"/>
    </row>
    <row r="147" spans="1:10" ht="48.9" customHeight="1" x14ac:dyDescent="0.3">
      <c r="A147" s="265" t="s">
        <v>528</v>
      </c>
      <c r="B147" s="265"/>
      <c r="C147" s="265"/>
      <c r="D147" s="265"/>
      <c r="E147" s="265"/>
      <c r="F147" s="265"/>
      <c r="G147" s="265"/>
      <c r="H147" s="265"/>
      <c r="I147" s="265"/>
      <c r="J147" s="265"/>
    </row>
    <row r="148" spans="1:10" ht="171.9" customHeight="1" x14ac:dyDescent="0.3">
      <c r="A148" s="252" t="s">
        <v>484</v>
      </c>
      <c r="B148" s="270"/>
      <c r="C148" s="270"/>
      <c r="D148" s="270"/>
      <c r="E148" s="270"/>
      <c r="F148" s="270"/>
      <c r="G148" s="270"/>
      <c r="H148" s="270"/>
      <c r="I148" s="270"/>
      <c r="J148" s="270"/>
    </row>
    <row r="149" spans="1:10" ht="105.9" customHeight="1" x14ac:dyDescent="0.3">
      <c r="A149" s="262" t="s">
        <v>483</v>
      </c>
      <c r="B149" s="262"/>
      <c r="C149" s="262"/>
      <c r="D149" s="262"/>
      <c r="E149" s="262"/>
      <c r="F149" s="262"/>
      <c r="G149" s="262"/>
      <c r="H149" s="262"/>
      <c r="I149" s="262"/>
      <c r="J149" s="262"/>
    </row>
    <row r="150" spans="1:10" ht="123" customHeight="1" x14ac:dyDescent="0.3">
      <c r="A150" s="263" t="s">
        <v>480</v>
      </c>
      <c r="B150" s="263"/>
      <c r="C150" s="263"/>
      <c r="D150" s="263"/>
      <c r="E150" s="263"/>
      <c r="F150" s="263"/>
      <c r="G150" s="263"/>
      <c r="H150" s="263"/>
      <c r="I150" s="263"/>
      <c r="J150" s="263"/>
    </row>
    <row r="151" spans="1:10" ht="51.9" customHeight="1" x14ac:dyDescent="0.3">
      <c r="A151" s="252" t="s">
        <v>482</v>
      </c>
      <c r="B151" s="264"/>
      <c r="C151" s="264"/>
      <c r="D151" s="264"/>
      <c r="E151" s="264"/>
      <c r="F151" s="264"/>
      <c r="G151" s="264"/>
      <c r="H151" s="264"/>
      <c r="I151" s="264"/>
      <c r="J151" s="264"/>
    </row>
    <row r="152" spans="1:10" ht="69.900000000000006" customHeight="1" x14ac:dyDescent="0.3">
      <c r="A152" s="262" t="s">
        <v>481</v>
      </c>
      <c r="B152" s="262"/>
      <c r="C152" s="262"/>
      <c r="D152" s="262"/>
      <c r="E152" s="262"/>
      <c r="F152" s="262"/>
      <c r="G152" s="262"/>
      <c r="H152" s="262"/>
      <c r="I152" s="262"/>
      <c r="J152" s="262"/>
    </row>
    <row r="153" spans="1:10" ht="86.1" customHeight="1" x14ac:dyDescent="0.3">
      <c r="A153" s="265" t="s">
        <v>480</v>
      </c>
      <c r="B153" s="265"/>
      <c r="C153" s="265"/>
      <c r="D153" s="265"/>
      <c r="E153" s="265"/>
      <c r="F153" s="265"/>
      <c r="G153" s="265"/>
      <c r="H153" s="265"/>
      <c r="I153" s="265"/>
      <c r="J153" s="265"/>
    </row>
    <row r="154" spans="1:10" x14ac:dyDescent="0.3">
      <c r="A154" s="266"/>
      <c r="B154" s="266"/>
      <c r="C154" s="266"/>
      <c r="D154" s="266"/>
      <c r="E154" s="266"/>
      <c r="F154" s="266"/>
      <c r="G154" s="266"/>
      <c r="H154" s="266"/>
      <c r="I154" s="266"/>
      <c r="J154" s="266"/>
    </row>
    <row r="157" spans="1:10" x14ac:dyDescent="0.3">
      <c r="A157" s="266" t="s">
        <v>529</v>
      </c>
      <c r="B157" s="266"/>
      <c r="C157" s="266"/>
      <c r="D157" s="266"/>
      <c r="E157" s="266"/>
      <c r="F157" s="266"/>
      <c r="G157" s="266"/>
      <c r="H157" s="266"/>
      <c r="I157" s="266"/>
      <c r="J157" s="266"/>
    </row>
    <row r="158" spans="1:10" x14ac:dyDescent="0.3">
      <c r="A158" s="253" t="s">
        <v>492</v>
      </c>
      <c r="B158" s="253"/>
      <c r="C158" s="253"/>
      <c r="D158" s="253"/>
      <c r="E158" s="253"/>
      <c r="F158" s="253"/>
      <c r="G158" s="253"/>
      <c r="H158" s="253"/>
      <c r="I158" s="253"/>
      <c r="J158" s="253"/>
    </row>
    <row r="159" spans="1:10" ht="200.1" customHeight="1" x14ac:dyDescent="0.3">
      <c r="A159" s="256" t="s">
        <v>525</v>
      </c>
      <c r="B159" s="256"/>
      <c r="C159" s="256"/>
      <c r="D159" s="256"/>
      <c r="E159" s="256"/>
      <c r="F159" s="256"/>
      <c r="G159" s="256"/>
      <c r="H159" s="256"/>
      <c r="I159" s="256"/>
      <c r="J159" s="256"/>
    </row>
    <row r="160" spans="1:10" ht="30.9" customHeight="1" x14ac:dyDescent="0.3">
      <c r="A160" s="257" t="s">
        <v>526</v>
      </c>
      <c r="B160" s="258"/>
      <c r="C160" s="258"/>
      <c r="D160" s="258"/>
      <c r="E160" s="258"/>
      <c r="F160" s="258"/>
      <c r="G160" s="258"/>
      <c r="H160" s="258"/>
      <c r="I160" s="258"/>
      <c r="J160" s="259"/>
    </row>
    <row r="161" spans="1:10" ht="63" customHeight="1" x14ac:dyDescent="0.3">
      <c r="A161" s="260" t="s">
        <v>480</v>
      </c>
      <c r="B161" s="260"/>
      <c r="C161" s="260"/>
      <c r="D161" s="260"/>
      <c r="E161" s="260"/>
      <c r="F161" s="260"/>
      <c r="G161" s="260"/>
      <c r="H161" s="260"/>
      <c r="I161" s="260"/>
      <c r="J161" s="260"/>
    </row>
    <row r="162" spans="1:10" ht="101.1" customHeight="1" x14ac:dyDescent="0.3">
      <c r="A162" s="252" t="s">
        <v>491</v>
      </c>
      <c r="B162" s="261"/>
      <c r="C162" s="261"/>
      <c r="D162" s="261"/>
      <c r="E162" s="261"/>
      <c r="F162" s="261"/>
      <c r="G162" s="261"/>
      <c r="H162" s="261"/>
      <c r="I162" s="261"/>
      <c r="J162" s="261"/>
    </row>
    <row r="163" spans="1:10" ht="264" customHeight="1" x14ac:dyDescent="0.3">
      <c r="A163" s="239" t="s">
        <v>490</v>
      </c>
      <c r="B163" s="240"/>
      <c r="C163" s="240"/>
      <c r="D163" s="240"/>
      <c r="E163" s="240"/>
      <c r="F163" s="240"/>
      <c r="G163" s="240"/>
      <c r="H163" s="240"/>
      <c r="I163" s="240"/>
      <c r="J163" s="241"/>
    </row>
    <row r="164" spans="1:10" ht="98.1" customHeight="1" x14ac:dyDescent="0.3">
      <c r="A164" s="242" t="s">
        <v>480</v>
      </c>
      <c r="B164" s="243"/>
      <c r="C164" s="243"/>
      <c r="D164" s="243"/>
      <c r="E164" s="243"/>
      <c r="F164" s="243"/>
      <c r="G164" s="243"/>
      <c r="H164" s="243"/>
      <c r="I164" s="243"/>
      <c r="J164" s="244"/>
    </row>
    <row r="165" spans="1:10" ht="69.900000000000006" customHeight="1" x14ac:dyDescent="0.3">
      <c r="A165" s="245" t="s">
        <v>527</v>
      </c>
      <c r="B165" s="246"/>
      <c r="C165" s="246"/>
      <c r="D165" s="246"/>
      <c r="E165" s="246"/>
      <c r="F165" s="246"/>
      <c r="G165" s="246"/>
      <c r="H165" s="246"/>
      <c r="I165" s="246"/>
      <c r="J165" s="247"/>
    </row>
    <row r="166" spans="1:10" ht="119.1" customHeight="1" x14ac:dyDescent="0.3">
      <c r="A166" s="248" t="s">
        <v>489</v>
      </c>
      <c r="B166" s="248"/>
      <c r="C166" s="248"/>
      <c r="D166" s="248"/>
      <c r="E166" s="248"/>
      <c r="F166" s="248"/>
      <c r="G166" s="248"/>
      <c r="H166" s="248"/>
      <c r="I166" s="248"/>
      <c r="J166" s="248"/>
    </row>
    <row r="167" spans="1:10" ht="74.099999999999994" customHeight="1" x14ac:dyDescent="0.3">
      <c r="A167" s="249" t="s">
        <v>480</v>
      </c>
      <c r="B167" s="250"/>
      <c r="C167" s="250"/>
      <c r="D167" s="250"/>
      <c r="E167" s="250"/>
      <c r="F167" s="250"/>
      <c r="G167" s="250"/>
      <c r="H167" s="250"/>
      <c r="I167" s="250"/>
      <c r="J167" s="251"/>
    </row>
    <row r="168" spans="1:10" ht="69.900000000000006" customHeight="1" x14ac:dyDescent="0.3">
      <c r="A168" s="252" t="s">
        <v>488</v>
      </c>
      <c r="B168" s="252"/>
      <c r="C168" s="252"/>
      <c r="D168" s="252"/>
      <c r="E168" s="252"/>
      <c r="F168" s="252"/>
      <c r="G168" s="252"/>
      <c r="H168" s="252"/>
      <c r="I168" s="252"/>
      <c r="J168" s="252"/>
    </row>
    <row r="169" spans="1:10" ht="65.099999999999994" customHeight="1" x14ac:dyDescent="0.3">
      <c r="A169" s="239" t="s">
        <v>487</v>
      </c>
      <c r="B169" s="240"/>
      <c r="C169" s="240"/>
      <c r="D169" s="240"/>
      <c r="E169" s="240"/>
      <c r="F169" s="240"/>
      <c r="G169" s="240"/>
      <c r="H169" s="240"/>
      <c r="I169" s="240"/>
      <c r="J169" s="241"/>
    </row>
    <row r="170" spans="1:10" ht="68.099999999999994" customHeight="1" x14ac:dyDescent="0.3">
      <c r="A170" s="267" t="s">
        <v>480</v>
      </c>
      <c r="B170" s="268"/>
      <c r="C170" s="268"/>
      <c r="D170" s="268"/>
      <c r="E170" s="268"/>
      <c r="F170" s="268"/>
      <c r="G170" s="268"/>
      <c r="H170" s="268"/>
      <c r="I170" s="268"/>
      <c r="J170" s="269"/>
    </row>
    <row r="171" spans="1:10" ht="74.099999999999994" customHeight="1" x14ac:dyDescent="0.3">
      <c r="A171" s="252" t="s">
        <v>486</v>
      </c>
      <c r="B171" s="252"/>
      <c r="C171" s="252"/>
      <c r="D171" s="252"/>
      <c r="E171" s="252"/>
      <c r="F171" s="252"/>
      <c r="G171" s="252"/>
      <c r="H171" s="252"/>
      <c r="I171" s="252"/>
      <c r="J171" s="252"/>
    </row>
    <row r="172" spans="1:10" ht="116.1" customHeight="1" x14ac:dyDescent="0.3">
      <c r="A172" s="262" t="s">
        <v>485</v>
      </c>
      <c r="B172" s="262"/>
      <c r="C172" s="262"/>
      <c r="D172" s="262"/>
      <c r="E172" s="262"/>
      <c r="F172" s="262"/>
      <c r="G172" s="262"/>
      <c r="H172" s="262"/>
      <c r="I172" s="262"/>
      <c r="J172" s="262"/>
    </row>
    <row r="173" spans="1:10" ht="63.9" customHeight="1" x14ac:dyDescent="0.3">
      <c r="A173" s="265" t="s">
        <v>528</v>
      </c>
      <c r="B173" s="265"/>
      <c r="C173" s="265"/>
      <c r="D173" s="265"/>
      <c r="E173" s="265"/>
      <c r="F173" s="265"/>
      <c r="G173" s="265"/>
      <c r="H173" s="265"/>
      <c r="I173" s="265"/>
      <c r="J173" s="265"/>
    </row>
    <row r="174" spans="1:10" ht="164.1" customHeight="1" x14ac:dyDescent="0.3">
      <c r="A174" s="252" t="s">
        <v>484</v>
      </c>
      <c r="B174" s="270"/>
      <c r="C174" s="270"/>
      <c r="D174" s="270"/>
      <c r="E174" s="270"/>
      <c r="F174" s="270"/>
      <c r="G174" s="270"/>
      <c r="H174" s="270"/>
      <c r="I174" s="270"/>
      <c r="J174" s="270"/>
    </row>
    <row r="175" spans="1:10" ht="114" customHeight="1" x14ac:dyDescent="0.3">
      <c r="A175" s="262" t="s">
        <v>483</v>
      </c>
      <c r="B175" s="262"/>
      <c r="C175" s="262"/>
      <c r="D175" s="262"/>
      <c r="E175" s="262"/>
      <c r="F175" s="262"/>
      <c r="G175" s="262"/>
      <c r="H175" s="262"/>
      <c r="I175" s="262"/>
      <c r="J175" s="262"/>
    </row>
    <row r="176" spans="1:10" ht="57" customHeight="1" x14ac:dyDescent="0.3">
      <c r="A176" s="263" t="s">
        <v>480</v>
      </c>
      <c r="B176" s="263"/>
      <c r="C176" s="263"/>
      <c r="D176" s="263"/>
      <c r="E176" s="263"/>
      <c r="F176" s="263"/>
      <c r="G176" s="263"/>
      <c r="H176" s="263"/>
      <c r="I176" s="263"/>
      <c r="J176" s="263"/>
    </row>
    <row r="177" spans="1:10" ht="53.1" customHeight="1" x14ac:dyDescent="0.3">
      <c r="A177" s="252" t="s">
        <v>482</v>
      </c>
      <c r="B177" s="264"/>
      <c r="C177" s="264"/>
      <c r="D177" s="264"/>
      <c r="E177" s="264"/>
      <c r="F177" s="264"/>
      <c r="G177" s="264"/>
      <c r="H177" s="264"/>
      <c r="I177" s="264"/>
      <c r="J177" s="264"/>
    </row>
    <row r="178" spans="1:10" ht="68.099999999999994" customHeight="1" x14ac:dyDescent="0.3">
      <c r="A178" s="262" t="s">
        <v>481</v>
      </c>
      <c r="B178" s="262"/>
      <c r="C178" s="262"/>
      <c r="D178" s="262"/>
      <c r="E178" s="262"/>
      <c r="F178" s="262"/>
      <c r="G178" s="262"/>
      <c r="H178" s="262"/>
      <c r="I178" s="262"/>
      <c r="J178" s="262"/>
    </row>
    <row r="179" spans="1:10" ht="75.900000000000006" customHeight="1" x14ac:dyDescent="0.3">
      <c r="A179" s="265" t="s">
        <v>480</v>
      </c>
      <c r="B179" s="265"/>
      <c r="C179" s="265"/>
      <c r="D179" s="265"/>
      <c r="E179" s="265"/>
      <c r="F179" s="265"/>
      <c r="G179" s="265"/>
      <c r="H179" s="265"/>
      <c r="I179" s="265"/>
      <c r="J179" s="265"/>
    </row>
    <row r="180" spans="1:10" x14ac:dyDescent="0.3">
      <c r="A180" s="266"/>
      <c r="B180" s="266"/>
      <c r="C180" s="266"/>
      <c r="D180" s="266"/>
      <c r="E180" s="266"/>
      <c r="F180" s="266"/>
      <c r="G180" s="266"/>
      <c r="H180" s="266"/>
      <c r="I180" s="266"/>
      <c r="J180" s="266"/>
    </row>
    <row r="183" spans="1:10" x14ac:dyDescent="0.3">
      <c r="A183" s="266" t="s">
        <v>529</v>
      </c>
      <c r="B183" s="266"/>
      <c r="C183" s="266"/>
      <c r="D183" s="266"/>
      <c r="E183" s="266"/>
      <c r="F183" s="266"/>
      <c r="G183" s="266"/>
      <c r="H183" s="266"/>
      <c r="I183" s="266"/>
      <c r="J183" s="266"/>
    </row>
    <row r="184" spans="1:10" x14ac:dyDescent="0.3">
      <c r="A184" s="253" t="s">
        <v>492</v>
      </c>
      <c r="B184" s="253"/>
      <c r="C184" s="253"/>
      <c r="D184" s="253"/>
      <c r="E184" s="253"/>
      <c r="F184" s="253"/>
      <c r="G184" s="253"/>
      <c r="H184" s="253"/>
      <c r="I184" s="253"/>
      <c r="J184" s="253"/>
    </row>
    <row r="185" spans="1:10" ht="198" customHeight="1" x14ac:dyDescent="0.3">
      <c r="A185" s="256" t="s">
        <v>525</v>
      </c>
      <c r="B185" s="256"/>
      <c r="C185" s="256"/>
      <c r="D185" s="256"/>
      <c r="E185" s="256"/>
      <c r="F185" s="256"/>
      <c r="G185" s="256"/>
      <c r="H185" s="256"/>
      <c r="I185" s="256"/>
      <c r="J185" s="256"/>
    </row>
    <row r="186" spans="1:10" ht="33.9" customHeight="1" x14ac:dyDescent="0.3">
      <c r="A186" s="257" t="s">
        <v>526</v>
      </c>
      <c r="B186" s="258"/>
      <c r="C186" s="258"/>
      <c r="D186" s="258"/>
      <c r="E186" s="258"/>
      <c r="F186" s="258"/>
      <c r="G186" s="258"/>
      <c r="H186" s="258"/>
      <c r="I186" s="258"/>
      <c r="J186" s="259"/>
    </row>
    <row r="187" spans="1:10" ht="57" customHeight="1" x14ac:dyDescent="0.3">
      <c r="A187" s="260" t="s">
        <v>480</v>
      </c>
      <c r="B187" s="260"/>
      <c r="C187" s="260"/>
      <c r="D187" s="260"/>
      <c r="E187" s="260"/>
      <c r="F187" s="260"/>
      <c r="G187" s="260"/>
      <c r="H187" s="260"/>
      <c r="I187" s="260"/>
      <c r="J187" s="260"/>
    </row>
    <row r="188" spans="1:10" ht="102.9" customHeight="1" x14ac:dyDescent="0.3">
      <c r="A188" s="252" t="s">
        <v>491</v>
      </c>
      <c r="B188" s="261"/>
      <c r="C188" s="261"/>
      <c r="D188" s="261"/>
      <c r="E188" s="261"/>
      <c r="F188" s="261"/>
      <c r="G188" s="261"/>
      <c r="H188" s="261"/>
      <c r="I188" s="261"/>
      <c r="J188" s="261"/>
    </row>
    <row r="189" spans="1:10" ht="267.89999999999998" customHeight="1" x14ac:dyDescent="0.3">
      <c r="A189" s="239" t="s">
        <v>490</v>
      </c>
      <c r="B189" s="240"/>
      <c r="C189" s="240"/>
      <c r="D189" s="240"/>
      <c r="E189" s="240"/>
      <c r="F189" s="240"/>
      <c r="G189" s="240"/>
      <c r="H189" s="240"/>
      <c r="I189" s="240"/>
      <c r="J189" s="241"/>
    </row>
    <row r="190" spans="1:10" ht="96.9" customHeight="1" x14ac:dyDescent="0.3">
      <c r="A190" s="242" t="s">
        <v>480</v>
      </c>
      <c r="B190" s="243"/>
      <c r="C190" s="243"/>
      <c r="D190" s="243"/>
      <c r="E190" s="243"/>
      <c r="F190" s="243"/>
      <c r="G190" s="243"/>
      <c r="H190" s="243"/>
      <c r="I190" s="243"/>
      <c r="J190" s="244"/>
    </row>
    <row r="191" spans="1:10" ht="69" customHeight="1" x14ac:dyDescent="0.3">
      <c r="A191" s="245" t="s">
        <v>527</v>
      </c>
      <c r="B191" s="246"/>
      <c r="C191" s="246"/>
      <c r="D191" s="246"/>
      <c r="E191" s="246"/>
      <c r="F191" s="246"/>
      <c r="G191" s="246"/>
      <c r="H191" s="246"/>
      <c r="I191" s="246"/>
      <c r="J191" s="247"/>
    </row>
    <row r="192" spans="1:10" ht="116.1" customHeight="1" x14ac:dyDescent="0.3">
      <c r="A192" s="248" t="s">
        <v>489</v>
      </c>
      <c r="B192" s="248"/>
      <c r="C192" s="248"/>
      <c r="D192" s="248"/>
      <c r="E192" s="248"/>
      <c r="F192" s="248"/>
      <c r="G192" s="248"/>
      <c r="H192" s="248"/>
      <c r="I192" s="248"/>
      <c r="J192" s="248"/>
    </row>
    <row r="193" spans="1:10" ht="87" customHeight="1" x14ac:dyDescent="0.3">
      <c r="A193" s="249" t="s">
        <v>480</v>
      </c>
      <c r="B193" s="250"/>
      <c r="C193" s="250"/>
      <c r="D193" s="250"/>
      <c r="E193" s="250"/>
      <c r="F193" s="250"/>
      <c r="G193" s="250"/>
      <c r="H193" s="250"/>
      <c r="I193" s="250"/>
      <c r="J193" s="251"/>
    </row>
    <row r="194" spans="1:10" ht="69" customHeight="1" x14ac:dyDescent="0.3">
      <c r="A194" s="252" t="s">
        <v>488</v>
      </c>
      <c r="B194" s="252"/>
      <c r="C194" s="252"/>
      <c r="D194" s="252"/>
      <c r="E194" s="252"/>
      <c r="F194" s="252"/>
      <c r="G194" s="252"/>
      <c r="H194" s="252"/>
      <c r="I194" s="252"/>
      <c r="J194" s="252"/>
    </row>
    <row r="195" spans="1:10" ht="69" customHeight="1" x14ac:dyDescent="0.3">
      <c r="A195" s="239" t="s">
        <v>487</v>
      </c>
      <c r="B195" s="240"/>
      <c r="C195" s="240"/>
      <c r="D195" s="240"/>
      <c r="E195" s="240"/>
      <c r="F195" s="240"/>
      <c r="G195" s="240"/>
      <c r="H195" s="240"/>
      <c r="I195" s="240"/>
      <c r="J195" s="241"/>
    </row>
    <row r="196" spans="1:10" ht="108" customHeight="1" x14ac:dyDescent="0.3">
      <c r="A196" s="267" t="s">
        <v>480</v>
      </c>
      <c r="B196" s="268"/>
      <c r="C196" s="268"/>
      <c r="D196" s="268"/>
      <c r="E196" s="268"/>
      <c r="F196" s="268"/>
      <c r="G196" s="268"/>
      <c r="H196" s="268"/>
      <c r="I196" s="268"/>
      <c r="J196" s="269"/>
    </row>
    <row r="197" spans="1:10" ht="68.099999999999994" customHeight="1" x14ac:dyDescent="0.3">
      <c r="A197" s="252" t="s">
        <v>486</v>
      </c>
      <c r="B197" s="252"/>
      <c r="C197" s="252"/>
      <c r="D197" s="252"/>
      <c r="E197" s="252"/>
      <c r="F197" s="252"/>
      <c r="G197" s="252"/>
      <c r="H197" s="252"/>
      <c r="I197" s="252"/>
      <c r="J197" s="252"/>
    </row>
    <row r="198" spans="1:10" ht="113.1" customHeight="1" x14ac:dyDescent="0.3">
      <c r="A198" s="262" t="s">
        <v>485</v>
      </c>
      <c r="B198" s="262"/>
      <c r="C198" s="262"/>
      <c r="D198" s="262"/>
      <c r="E198" s="262"/>
      <c r="F198" s="262"/>
      <c r="G198" s="262"/>
      <c r="H198" s="262"/>
      <c r="I198" s="262"/>
      <c r="J198" s="262"/>
    </row>
    <row r="199" spans="1:10" ht="65.099999999999994" customHeight="1" x14ac:dyDescent="0.3">
      <c r="A199" s="265" t="s">
        <v>528</v>
      </c>
      <c r="B199" s="265"/>
      <c r="C199" s="265"/>
      <c r="D199" s="265"/>
      <c r="E199" s="265"/>
      <c r="F199" s="265"/>
      <c r="G199" s="265"/>
      <c r="H199" s="265"/>
      <c r="I199" s="265"/>
      <c r="J199" s="265"/>
    </row>
    <row r="200" spans="1:10" ht="168" customHeight="1" x14ac:dyDescent="0.3">
      <c r="A200" s="252" t="s">
        <v>484</v>
      </c>
      <c r="B200" s="270"/>
      <c r="C200" s="270"/>
      <c r="D200" s="270"/>
      <c r="E200" s="270"/>
      <c r="F200" s="270"/>
      <c r="G200" s="270"/>
      <c r="H200" s="270"/>
      <c r="I200" s="270"/>
      <c r="J200" s="270"/>
    </row>
    <row r="201" spans="1:10" ht="107.1" customHeight="1" x14ac:dyDescent="0.3">
      <c r="A201" s="262" t="s">
        <v>483</v>
      </c>
      <c r="B201" s="262"/>
      <c r="C201" s="262"/>
      <c r="D201" s="262"/>
      <c r="E201" s="262"/>
      <c r="F201" s="262"/>
      <c r="G201" s="262"/>
      <c r="H201" s="262"/>
      <c r="I201" s="262"/>
      <c r="J201" s="262"/>
    </row>
    <row r="202" spans="1:10" ht="93" customHeight="1" x14ac:dyDescent="0.3">
      <c r="A202" s="263" t="s">
        <v>480</v>
      </c>
      <c r="B202" s="263"/>
      <c r="C202" s="263"/>
      <c r="D202" s="263"/>
      <c r="E202" s="263"/>
      <c r="F202" s="263"/>
      <c r="G202" s="263"/>
      <c r="H202" s="263"/>
      <c r="I202" s="263"/>
      <c r="J202" s="263"/>
    </row>
    <row r="203" spans="1:10" ht="54.9" customHeight="1" x14ac:dyDescent="0.3">
      <c r="A203" s="252" t="s">
        <v>482</v>
      </c>
      <c r="B203" s="264"/>
      <c r="C203" s="264"/>
      <c r="D203" s="264"/>
      <c r="E203" s="264"/>
      <c r="F203" s="264"/>
      <c r="G203" s="264"/>
      <c r="H203" s="264"/>
      <c r="I203" s="264"/>
      <c r="J203" s="264"/>
    </row>
    <row r="204" spans="1:10" ht="66.900000000000006" customHeight="1" x14ac:dyDescent="0.3">
      <c r="A204" s="262" t="s">
        <v>481</v>
      </c>
      <c r="B204" s="262"/>
      <c r="C204" s="262"/>
      <c r="D204" s="262"/>
      <c r="E204" s="262"/>
      <c r="F204" s="262"/>
      <c r="G204" s="262"/>
      <c r="H204" s="262"/>
      <c r="I204" s="262"/>
      <c r="J204" s="262"/>
    </row>
    <row r="205" spans="1:10" ht="135.9" customHeight="1" x14ac:dyDescent="0.3">
      <c r="A205" s="265" t="s">
        <v>480</v>
      </c>
      <c r="B205" s="265"/>
      <c r="C205" s="265"/>
      <c r="D205" s="265"/>
      <c r="E205" s="265"/>
      <c r="F205" s="265"/>
      <c r="G205" s="265"/>
      <c r="H205" s="265"/>
      <c r="I205" s="265"/>
      <c r="J205" s="265"/>
    </row>
    <row r="206" spans="1:10" x14ac:dyDescent="0.3">
      <c r="A206" s="266"/>
      <c r="B206" s="266"/>
      <c r="C206" s="266"/>
      <c r="D206" s="266"/>
      <c r="E206" s="266"/>
      <c r="F206" s="266"/>
      <c r="G206" s="266"/>
      <c r="H206" s="266"/>
      <c r="I206" s="266"/>
      <c r="J206" s="266"/>
    </row>
  </sheetData>
  <mergeCells count="192">
    <mergeCell ref="A201:J201"/>
    <mergeCell ref="A202:J202"/>
    <mergeCell ref="A203:J203"/>
    <mergeCell ref="A204:J204"/>
    <mergeCell ref="A205:J205"/>
    <mergeCell ref="A206:J206"/>
    <mergeCell ref="A195:J195"/>
    <mergeCell ref="A196:J196"/>
    <mergeCell ref="A197:J197"/>
    <mergeCell ref="A198:J198"/>
    <mergeCell ref="A199:J199"/>
    <mergeCell ref="A200:J200"/>
    <mergeCell ref="A189:J189"/>
    <mergeCell ref="A190:J190"/>
    <mergeCell ref="A191:J191"/>
    <mergeCell ref="A192:J192"/>
    <mergeCell ref="A193:J193"/>
    <mergeCell ref="A194:J194"/>
    <mergeCell ref="A183:J183"/>
    <mergeCell ref="A184:J184"/>
    <mergeCell ref="A185:J185"/>
    <mergeCell ref="A186:J186"/>
    <mergeCell ref="A187:J187"/>
    <mergeCell ref="A188:J188"/>
    <mergeCell ref="A175:J175"/>
    <mergeCell ref="A176:J176"/>
    <mergeCell ref="A177:J177"/>
    <mergeCell ref="A178:J178"/>
    <mergeCell ref="A179:J179"/>
    <mergeCell ref="A180:J180"/>
    <mergeCell ref="A169:J169"/>
    <mergeCell ref="A170:J170"/>
    <mergeCell ref="A171:J171"/>
    <mergeCell ref="A172:J172"/>
    <mergeCell ref="A173:J173"/>
    <mergeCell ref="A174:J174"/>
    <mergeCell ref="A163:J163"/>
    <mergeCell ref="A164:J164"/>
    <mergeCell ref="A165:J165"/>
    <mergeCell ref="A166:J166"/>
    <mergeCell ref="A167:J167"/>
    <mergeCell ref="A168:J168"/>
    <mergeCell ref="A157:J157"/>
    <mergeCell ref="A158:J158"/>
    <mergeCell ref="A159:J159"/>
    <mergeCell ref="A160:J160"/>
    <mergeCell ref="A161:J161"/>
    <mergeCell ref="A162:J162"/>
    <mergeCell ref="A149:J149"/>
    <mergeCell ref="A150:J150"/>
    <mergeCell ref="A151:J151"/>
    <mergeCell ref="A152:J152"/>
    <mergeCell ref="A153:J153"/>
    <mergeCell ref="A154:J154"/>
    <mergeCell ref="A143:J143"/>
    <mergeCell ref="A144:J144"/>
    <mergeCell ref="A145:J145"/>
    <mergeCell ref="A146:J146"/>
    <mergeCell ref="A147:J147"/>
    <mergeCell ref="A148:J148"/>
    <mergeCell ref="A137:J137"/>
    <mergeCell ref="A138:J138"/>
    <mergeCell ref="A139:J139"/>
    <mergeCell ref="A140:J140"/>
    <mergeCell ref="A141:J141"/>
    <mergeCell ref="A142:J142"/>
    <mergeCell ref="A131:J131"/>
    <mergeCell ref="A132:J132"/>
    <mergeCell ref="A133:J133"/>
    <mergeCell ref="A134:J134"/>
    <mergeCell ref="A135:J135"/>
    <mergeCell ref="A136:J136"/>
    <mergeCell ref="A123:J123"/>
    <mergeCell ref="A124:J124"/>
    <mergeCell ref="A125:J125"/>
    <mergeCell ref="A126:J126"/>
    <mergeCell ref="A127:J127"/>
    <mergeCell ref="A128:J128"/>
    <mergeCell ref="A117:J117"/>
    <mergeCell ref="A118:J118"/>
    <mergeCell ref="A119:J119"/>
    <mergeCell ref="A120:J120"/>
    <mergeCell ref="A121:J121"/>
    <mergeCell ref="A122:J122"/>
    <mergeCell ref="A111:J111"/>
    <mergeCell ref="A112:J112"/>
    <mergeCell ref="A113:J113"/>
    <mergeCell ref="A114:J114"/>
    <mergeCell ref="A115:J115"/>
    <mergeCell ref="A116:J116"/>
    <mergeCell ref="A105:J105"/>
    <mergeCell ref="A106:J106"/>
    <mergeCell ref="A107:J107"/>
    <mergeCell ref="A108:J108"/>
    <mergeCell ref="A109:J109"/>
    <mergeCell ref="A110:J110"/>
    <mergeCell ref="A97:J97"/>
    <mergeCell ref="A98:J98"/>
    <mergeCell ref="A99:J99"/>
    <mergeCell ref="A100:J100"/>
    <mergeCell ref="A101:J101"/>
    <mergeCell ref="A102:J102"/>
    <mergeCell ref="A91:J91"/>
    <mergeCell ref="A92:J92"/>
    <mergeCell ref="A93:J93"/>
    <mergeCell ref="A94:J94"/>
    <mergeCell ref="A95:J95"/>
    <mergeCell ref="A96:J96"/>
    <mergeCell ref="A85:J85"/>
    <mergeCell ref="A86:J86"/>
    <mergeCell ref="A87:J87"/>
    <mergeCell ref="A88:J88"/>
    <mergeCell ref="A89:J89"/>
    <mergeCell ref="A90:J90"/>
    <mergeCell ref="A79:J79"/>
    <mergeCell ref="A80:J80"/>
    <mergeCell ref="A81:J81"/>
    <mergeCell ref="A82:J82"/>
    <mergeCell ref="A83:J83"/>
    <mergeCell ref="A84:J84"/>
    <mergeCell ref="A71:J71"/>
    <mergeCell ref="A72:J72"/>
    <mergeCell ref="A73:J73"/>
    <mergeCell ref="A74:J74"/>
    <mergeCell ref="A75:J75"/>
    <mergeCell ref="A76:J76"/>
    <mergeCell ref="A65:J65"/>
    <mergeCell ref="A66:J66"/>
    <mergeCell ref="A67:J67"/>
    <mergeCell ref="A68:J68"/>
    <mergeCell ref="A69:J69"/>
    <mergeCell ref="A70:J70"/>
    <mergeCell ref="A59:J59"/>
    <mergeCell ref="A60:J60"/>
    <mergeCell ref="A61:J61"/>
    <mergeCell ref="A62:J62"/>
    <mergeCell ref="A63:J63"/>
    <mergeCell ref="A64:J64"/>
    <mergeCell ref="A53:J53"/>
    <mergeCell ref="A54:J54"/>
    <mergeCell ref="A55:J55"/>
    <mergeCell ref="A56:J56"/>
    <mergeCell ref="A57:J57"/>
    <mergeCell ref="A58:J58"/>
    <mergeCell ref="A45:J45"/>
    <mergeCell ref="A46:J46"/>
    <mergeCell ref="A47:J47"/>
    <mergeCell ref="A48:J48"/>
    <mergeCell ref="A49:J49"/>
    <mergeCell ref="A50:J50"/>
    <mergeCell ref="A39:J39"/>
    <mergeCell ref="A40:J40"/>
    <mergeCell ref="A41:J41"/>
    <mergeCell ref="A42:J42"/>
    <mergeCell ref="A43:J43"/>
    <mergeCell ref="A44:J44"/>
    <mergeCell ref="A33:J33"/>
    <mergeCell ref="A34:J34"/>
    <mergeCell ref="A35:J35"/>
    <mergeCell ref="A36:J36"/>
    <mergeCell ref="A37:J37"/>
    <mergeCell ref="A38:J38"/>
    <mergeCell ref="A27:J27"/>
    <mergeCell ref="A28:J28"/>
    <mergeCell ref="A29:J29"/>
    <mergeCell ref="A30:J30"/>
    <mergeCell ref="A31:J31"/>
    <mergeCell ref="A32:J32"/>
    <mergeCell ref="A19:J19"/>
    <mergeCell ref="A20:J20"/>
    <mergeCell ref="A21:J21"/>
    <mergeCell ref="A22:J22"/>
    <mergeCell ref="A23:J23"/>
    <mergeCell ref="A24:J24"/>
    <mergeCell ref="A13:J13"/>
    <mergeCell ref="A14:J14"/>
    <mergeCell ref="A15:J15"/>
    <mergeCell ref="A16:J16"/>
    <mergeCell ref="A17:J17"/>
    <mergeCell ref="A18:J18"/>
    <mergeCell ref="A7:J7"/>
    <mergeCell ref="A8:J8"/>
    <mergeCell ref="A9:J9"/>
    <mergeCell ref="A10:J10"/>
    <mergeCell ref="A11:J11"/>
    <mergeCell ref="A12:J12"/>
    <mergeCell ref="A1:J1"/>
    <mergeCell ref="A2:J2"/>
    <mergeCell ref="A3:J3"/>
    <mergeCell ref="A4:J4"/>
    <mergeCell ref="A5:J5"/>
    <mergeCell ref="A6:J6"/>
  </mergeCell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36"/>
  <sheetViews>
    <sheetView zoomScaleNormal="100" workbookViewId="0">
      <selection activeCell="G11" sqref="G11"/>
    </sheetView>
  </sheetViews>
  <sheetFormatPr defaultColWidth="8.88671875" defaultRowHeight="14.4" x14ac:dyDescent="0.3"/>
  <cols>
    <col min="1" max="1" width="41.109375" customWidth="1"/>
    <col min="6" max="6" width="22" customWidth="1"/>
    <col min="7" max="7" width="55.6640625" customWidth="1"/>
  </cols>
  <sheetData>
    <row r="1" spans="1:7" ht="21.6" thickBot="1" x14ac:dyDescent="0.55000000000000004">
      <c r="A1" s="274" t="s">
        <v>244</v>
      </c>
      <c r="B1" s="275"/>
      <c r="C1" s="275"/>
      <c r="D1" s="275"/>
      <c r="E1" s="275"/>
      <c r="F1" s="276"/>
      <c r="G1" s="88" t="s">
        <v>232</v>
      </c>
    </row>
    <row r="2" spans="1:7" ht="21.6" thickBot="1" x14ac:dyDescent="0.55000000000000004">
      <c r="A2" s="277" t="s">
        <v>233</v>
      </c>
      <c r="B2" s="278"/>
      <c r="C2" s="278"/>
      <c r="D2" s="278"/>
      <c r="E2" s="278"/>
      <c r="F2" s="279"/>
      <c r="G2" s="88"/>
    </row>
    <row r="3" spans="1:7" ht="21" x14ac:dyDescent="0.3">
      <c r="A3" s="280" t="s">
        <v>245</v>
      </c>
      <c r="B3" s="281"/>
      <c r="C3" s="281"/>
      <c r="D3" s="281"/>
      <c r="E3" s="281"/>
      <c r="F3" s="282"/>
      <c r="G3" s="96" t="s">
        <v>252</v>
      </c>
    </row>
    <row r="4" spans="1:7" x14ac:dyDescent="0.3">
      <c r="A4" s="283" t="s">
        <v>234</v>
      </c>
      <c r="B4" s="284"/>
      <c r="C4" s="285"/>
      <c r="D4" s="286"/>
      <c r="E4" s="286"/>
      <c r="F4" s="287"/>
      <c r="G4" s="89" t="s">
        <v>235</v>
      </c>
    </row>
    <row r="5" spans="1:7" x14ac:dyDescent="0.3">
      <c r="A5" s="272" t="s">
        <v>236</v>
      </c>
      <c r="B5" s="273"/>
      <c r="C5" s="90"/>
      <c r="D5" s="90"/>
      <c r="E5" s="90"/>
      <c r="F5" s="91"/>
      <c r="G5" s="8"/>
    </row>
    <row r="6" spans="1:7" x14ac:dyDescent="0.3">
      <c r="A6" s="293" t="s">
        <v>199</v>
      </c>
      <c r="B6" s="294"/>
      <c r="C6" s="295"/>
      <c r="D6" s="296"/>
      <c r="E6" s="296"/>
      <c r="F6" s="297"/>
      <c r="G6" s="8"/>
    </row>
    <row r="7" spans="1:7" x14ac:dyDescent="0.3">
      <c r="A7" s="288" t="s">
        <v>237</v>
      </c>
      <c r="B7" s="289"/>
      <c r="C7" s="295"/>
      <c r="D7" s="296"/>
      <c r="E7" s="296"/>
      <c r="F7" s="297"/>
      <c r="G7" s="8"/>
    </row>
    <row r="8" spans="1:7" x14ac:dyDescent="0.3">
      <c r="A8" s="288" t="s">
        <v>251</v>
      </c>
      <c r="B8" s="289"/>
      <c r="C8" s="298"/>
      <c r="D8" s="299"/>
      <c r="E8" s="299"/>
      <c r="F8" s="300"/>
      <c r="G8" s="8"/>
    </row>
    <row r="9" spans="1:7" x14ac:dyDescent="0.3">
      <c r="A9" s="288" t="s">
        <v>238</v>
      </c>
      <c r="B9" s="289"/>
      <c r="C9" s="290"/>
      <c r="D9" s="291"/>
      <c r="E9" s="291"/>
      <c r="F9" s="292"/>
      <c r="G9" s="8"/>
    </row>
    <row r="10" spans="1:7" ht="21.6" thickBot="1" x14ac:dyDescent="0.35">
      <c r="A10" s="304" t="s">
        <v>239</v>
      </c>
      <c r="B10" s="304"/>
      <c r="C10" s="304"/>
      <c r="D10" s="304"/>
      <c r="E10" s="304"/>
      <c r="F10" s="304"/>
      <c r="G10" s="8"/>
    </row>
    <row r="11" spans="1:7" ht="18.600000000000001" x14ac:dyDescent="0.3">
      <c r="A11" s="305" t="s">
        <v>246</v>
      </c>
      <c r="B11" s="306"/>
      <c r="C11" s="306"/>
      <c r="D11" s="306"/>
      <c r="E11" s="306"/>
      <c r="F11" s="307"/>
      <c r="G11" s="8"/>
    </row>
    <row r="12" spans="1:7" x14ac:dyDescent="0.3">
      <c r="A12" s="308" t="s">
        <v>247</v>
      </c>
      <c r="B12" s="308"/>
      <c r="C12" s="308"/>
      <c r="D12" s="309"/>
      <c r="E12" s="309"/>
      <c r="F12" s="310"/>
      <c r="G12" s="8"/>
    </row>
    <row r="13" spans="1:7" x14ac:dyDescent="0.3">
      <c r="A13" s="311" t="s">
        <v>240</v>
      </c>
      <c r="B13" s="312"/>
      <c r="C13" s="312"/>
      <c r="D13" s="312"/>
      <c r="E13" s="312"/>
      <c r="F13" s="313"/>
      <c r="G13" s="8"/>
    </row>
    <row r="14" spans="1:7" x14ac:dyDescent="0.3">
      <c r="A14" s="314"/>
      <c r="B14" s="315"/>
      <c r="C14" s="315"/>
      <c r="D14" s="315"/>
      <c r="E14" s="315"/>
      <c r="F14" s="316"/>
      <c r="G14" s="8"/>
    </row>
    <row r="15" spans="1:7" x14ac:dyDescent="0.3">
      <c r="A15" s="317" t="s">
        <v>248</v>
      </c>
      <c r="B15" s="318"/>
      <c r="C15" s="318"/>
      <c r="D15" s="318"/>
      <c r="E15" s="318"/>
      <c r="F15" s="92" t="s">
        <v>241</v>
      </c>
      <c r="G15" s="8"/>
    </row>
    <row r="16" spans="1:7" x14ac:dyDescent="0.3">
      <c r="A16" s="311" t="s">
        <v>253</v>
      </c>
      <c r="B16" s="312"/>
      <c r="C16" s="312"/>
      <c r="D16" s="312"/>
      <c r="E16" s="312"/>
      <c r="F16" s="313"/>
      <c r="G16" s="8"/>
    </row>
    <row r="17" spans="1:7" x14ac:dyDescent="0.3">
      <c r="A17" s="319"/>
      <c r="B17" s="320"/>
      <c r="C17" s="320"/>
      <c r="D17" s="320"/>
      <c r="E17" s="320"/>
      <c r="F17" s="321"/>
      <c r="G17" s="8"/>
    </row>
    <row r="18" spans="1:7" ht="15" thickBot="1" x14ac:dyDescent="0.35">
      <c r="A18" s="322"/>
      <c r="B18" s="323"/>
      <c r="C18" s="323"/>
      <c r="D18" s="323"/>
      <c r="E18" s="323"/>
      <c r="F18" s="324"/>
      <c r="G18" s="8"/>
    </row>
    <row r="19" spans="1:7" ht="19.2" thickBot="1" x14ac:dyDescent="0.35">
      <c r="A19" s="301" t="s">
        <v>521</v>
      </c>
      <c r="B19" s="302"/>
      <c r="C19" s="302"/>
      <c r="D19" s="302"/>
      <c r="E19" s="302"/>
      <c r="F19" s="303"/>
      <c r="G19" s="8"/>
    </row>
    <row r="20" spans="1:7" x14ac:dyDescent="0.3">
      <c r="A20" s="337" t="s">
        <v>242</v>
      </c>
      <c r="B20" s="338"/>
      <c r="C20" s="338"/>
      <c r="D20" s="338"/>
      <c r="E20" s="338"/>
      <c r="F20" s="339"/>
      <c r="G20" s="8"/>
    </row>
    <row r="21" spans="1:7" x14ac:dyDescent="0.3">
      <c r="A21" s="340"/>
      <c r="B21" s="341"/>
      <c r="C21" s="341"/>
      <c r="D21" s="341"/>
      <c r="E21" s="341"/>
      <c r="F21" s="342"/>
      <c r="G21" s="8"/>
    </row>
    <row r="22" spans="1:7" x14ac:dyDescent="0.3">
      <c r="A22" s="343" t="s">
        <v>249</v>
      </c>
      <c r="B22" s="344"/>
      <c r="C22" s="344"/>
      <c r="D22" s="309"/>
      <c r="E22" s="309"/>
      <c r="F22" s="310"/>
      <c r="G22" s="8"/>
    </row>
    <row r="23" spans="1:7" s="80" customFormat="1" x14ac:dyDescent="0.3">
      <c r="A23" s="351" t="s">
        <v>238</v>
      </c>
      <c r="B23" s="352"/>
      <c r="C23" s="353"/>
      <c r="D23" s="354"/>
      <c r="E23" s="309"/>
      <c r="F23" s="310"/>
      <c r="G23" s="8"/>
    </row>
    <row r="24" spans="1:7" x14ac:dyDescent="0.3">
      <c r="A24" s="345" t="s">
        <v>522</v>
      </c>
      <c r="B24" s="346"/>
      <c r="C24" s="346"/>
      <c r="D24" s="346"/>
      <c r="E24" s="346"/>
      <c r="F24" s="347"/>
      <c r="G24" s="8"/>
    </row>
    <row r="25" spans="1:7" ht="15" thickBot="1" x14ac:dyDescent="0.35">
      <c r="A25" s="348"/>
      <c r="B25" s="349"/>
      <c r="C25" s="349"/>
      <c r="D25" s="349"/>
      <c r="E25" s="349"/>
      <c r="F25" s="350"/>
      <c r="G25" s="8"/>
    </row>
    <row r="26" spans="1:7" ht="19.2" thickBot="1" x14ac:dyDescent="0.35">
      <c r="A26" s="325" t="s">
        <v>250</v>
      </c>
      <c r="B26" s="326"/>
      <c r="C26" s="326"/>
      <c r="D26" s="326"/>
      <c r="E26" s="326"/>
      <c r="F26" s="327"/>
      <c r="G26" s="8"/>
    </row>
    <row r="27" spans="1:7" x14ac:dyDescent="0.3">
      <c r="A27" s="328" t="s">
        <v>243</v>
      </c>
      <c r="B27" s="329"/>
      <c r="C27" s="329"/>
      <c r="D27" s="329"/>
      <c r="E27" s="329"/>
      <c r="F27" s="330"/>
      <c r="G27" s="8"/>
    </row>
    <row r="28" spans="1:7" x14ac:dyDescent="0.3">
      <c r="A28" s="331"/>
      <c r="B28" s="332"/>
      <c r="C28" s="332"/>
      <c r="D28" s="332"/>
      <c r="E28" s="332"/>
      <c r="F28" s="333"/>
      <c r="G28" s="93"/>
    </row>
    <row r="29" spans="1:7" ht="95.25" customHeight="1" thickBot="1" x14ac:dyDescent="0.35">
      <c r="A29" s="334"/>
      <c r="B29" s="335"/>
      <c r="C29" s="335"/>
      <c r="D29" s="335"/>
      <c r="E29" s="335"/>
      <c r="F29" s="336"/>
      <c r="G29" s="8"/>
    </row>
    <row r="30" spans="1:7" x14ac:dyDescent="0.3">
      <c r="A30" s="6"/>
      <c r="B30" s="6"/>
      <c r="C30" s="6"/>
      <c r="D30" s="6"/>
      <c r="E30" s="6"/>
      <c r="F30" s="6"/>
      <c r="G30" s="94"/>
    </row>
    <row r="31" spans="1:7" x14ac:dyDescent="0.3">
      <c r="A31" s="6"/>
      <c r="B31" s="6"/>
      <c r="C31" s="6"/>
      <c r="D31" s="6"/>
      <c r="E31" s="6"/>
      <c r="F31" s="6"/>
      <c r="G31" s="8"/>
    </row>
    <row r="32" spans="1:7" ht="90.75" customHeight="1" x14ac:dyDescent="0.3">
      <c r="A32" s="6"/>
      <c r="B32" s="6"/>
      <c r="C32" s="6"/>
      <c r="D32" s="6"/>
      <c r="E32" s="6"/>
      <c r="F32" s="6"/>
      <c r="G32" s="8"/>
    </row>
    <row r="33" spans="1:7" x14ac:dyDescent="0.3">
      <c r="A33" s="6"/>
      <c r="B33" s="6"/>
      <c r="C33" s="6"/>
      <c r="D33" s="6"/>
      <c r="E33" s="6"/>
      <c r="F33" s="6"/>
      <c r="G33" s="8"/>
    </row>
    <row r="34" spans="1:7" x14ac:dyDescent="0.3">
      <c r="G34" s="8"/>
    </row>
    <row r="35" spans="1:7" x14ac:dyDescent="0.3">
      <c r="G35" s="93"/>
    </row>
    <row r="36" spans="1:7" x14ac:dyDescent="0.3">
      <c r="G36" s="95"/>
    </row>
  </sheetData>
  <mergeCells count="34">
    <mergeCell ref="A26:F26"/>
    <mergeCell ref="A27:F29"/>
    <mergeCell ref="A20:F20"/>
    <mergeCell ref="A21:F21"/>
    <mergeCell ref="A22:C22"/>
    <mergeCell ref="D22:F22"/>
    <mergeCell ref="A24:F24"/>
    <mergeCell ref="A25:F25"/>
    <mergeCell ref="A23:C23"/>
    <mergeCell ref="D23:F23"/>
    <mergeCell ref="A19:F19"/>
    <mergeCell ref="A10:F10"/>
    <mergeCell ref="A11:F11"/>
    <mergeCell ref="A12:C12"/>
    <mergeCell ref="D12:F12"/>
    <mergeCell ref="A13:F13"/>
    <mergeCell ref="A14:F14"/>
    <mergeCell ref="A15:E15"/>
    <mergeCell ref="A16:F16"/>
    <mergeCell ref="A17:F18"/>
    <mergeCell ref="A9:B9"/>
    <mergeCell ref="C9:F9"/>
    <mergeCell ref="A6:B6"/>
    <mergeCell ref="C6:F6"/>
    <mergeCell ref="A7:B7"/>
    <mergeCell ref="C7:F7"/>
    <mergeCell ref="A8:B8"/>
    <mergeCell ref="C8:F8"/>
    <mergeCell ref="A5:B5"/>
    <mergeCell ref="A1:F1"/>
    <mergeCell ref="A2:F2"/>
    <mergeCell ref="A3:F3"/>
    <mergeCell ref="A4:B4"/>
    <mergeCell ref="C4:F4"/>
  </mergeCells>
  <dataValidations disablePrompts="1" count="1">
    <dataValidation type="list" allowBlank="1" showInputMessage="1" showErrorMessage="1" sqref="F15">
      <formula1>"Please select, Yes, No"</formula1>
    </dataValidation>
  </dataValidations>
  <hyperlinks>
    <hyperlink ref="G4" r:id="rId1"/>
    <hyperlink ref="G3" r:id="rId2"/>
  </hyperlinks>
  <pageMargins left="0.7" right="0.7" top="0.75" bottom="0.75" header="0.3" footer="0.3"/>
  <pageSetup orientation="portrait" r:id="rId3"/>
  <headerFooter>
    <oddHeader xml:space="preserve">&amp;C&amp;"-,Bold"PIP # - Program name - 2020-21 - Mid-Year Results Update
</oddHeader>
    <oddFooter>&amp;R&amp;P</oddFooter>
  </headerFooter>
  <legacyDrawing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'Drop Downs'!$B$85:$B$87</xm:f>
          </x14:formula1>
          <xm:sqref>C4:F4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21"/>
  <sheetViews>
    <sheetView zoomScaleNormal="100" workbookViewId="0">
      <selection activeCell="D9" sqref="D9"/>
    </sheetView>
  </sheetViews>
  <sheetFormatPr defaultColWidth="8.88671875" defaultRowHeight="14.4" x14ac:dyDescent="0.3"/>
  <cols>
    <col min="1" max="1" width="19.44140625" style="79" customWidth="1"/>
    <col min="2" max="2" width="10.44140625" customWidth="1"/>
    <col min="3" max="3" width="13.88671875" bestFit="1" customWidth="1"/>
    <col min="4" max="4" width="10.44140625" bestFit="1" customWidth="1"/>
    <col min="5" max="5" width="12.88671875" bestFit="1" customWidth="1"/>
    <col min="6" max="6" width="10.44140625" bestFit="1" customWidth="1"/>
  </cols>
  <sheetData>
    <row r="1" spans="1:13" s="80" customFormat="1" ht="15" customHeight="1" x14ac:dyDescent="0.3">
      <c r="A1" s="79"/>
      <c r="B1"/>
      <c r="C1"/>
      <c r="D1"/>
      <c r="E1"/>
      <c r="F1"/>
    </row>
    <row r="2" spans="1:13" s="10" customFormat="1" ht="48.75" customHeight="1" x14ac:dyDescent="0.3">
      <c r="A2" s="79"/>
      <c r="B2"/>
      <c r="C2"/>
      <c r="D2"/>
      <c r="E2"/>
      <c r="F2"/>
    </row>
    <row r="3" spans="1:13" s="10" customFormat="1" x14ac:dyDescent="0.3">
      <c r="A3" s="79"/>
      <c r="B3"/>
      <c r="C3"/>
      <c r="D3"/>
      <c r="E3"/>
      <c r="F3"/>
      <c r="G3"/>
      <c r="H3"/>
      <c r="I3"/>
      <c r="J3"/>
      <c r="K3"/>
      <c r="L3"/>
      <c r="M3"/>
    </row>
    <row r="4" spans="1:13" s="10" customFormat="1" ht="15" customHeight="1" x14ac:dyDescent="0.3">
      <c r="A4" s="79"/>
      <c r="B4"/>
      <c r="C4"/>
      <c r="D4"/>
      <c r="E4"/>
      <c r="F4"/>
      <c r="G4"/>
      <c r="H4"/>
      <c r="I4"/>
      <c r="J4"/>
      <c r="K4"/>
      <c r="L4"/>
      <c r="M4"/>
    </row>
    <row r="5" spans="1:13" s="10" customFormat="1" x14ac:dyDescent="0.3">
      <c r="A5" s="79"/>
      <c r="B5"/>
      <c r="C5"/>
      <c r="D5"/>
      <c r="E5"/>
      <c r="F5"/>
      <c r="G5"/>
      <c r="H5"/>
      <c r="I5"/>
      <c r="J5"/>
      <c r="K5"/>
      <c r="L5"/>
      <c r="M5"/>
    </row>
    <row r="6" spans="1:13" s="10" customFormat="1" x14ac:dyDescent="0.3">
      <c r="A6" s="79"/>
      <c r="B6"/>
      <c r="C6"/>
      <c r="D6"/>
      <c r="E6"/>
      <c r="F6"/>
      <c r="G6"/>
      <c r="H6"/>
      <c r="I6"/>
      <c r="J6"/>
      <c r="K6"/>
      <c r="L6"/>
      <c r="M6"/>
    </row>
    <row r="7" spans="1:13" s="10" customFormat="1" x14ac:dyDescent="0.3">
      <c r="A7" s="79"/>
      <c r="B7"/>
      <c r="C7"/>
      <c r="D7"/>
      <c r="E7"/>
      <c r="F7"/>
      <c r="G7"/>
      <c r="H7"/>
      <c r="I7"/>
      <c r="J7"/>
      <c r="K7"/>
      <c r="L7"/>
      <c r="M7"/>
    </row>
    <row r="8" spans="1:13" s="10" customFormat="1" x14ac:dyDescent="0.3">
      <c r="A8" s="79"/>
      <c r="B8"/>
      <c r="C8"/>
      <c r="D8"/>
      <c r="E8"/>
      <c r="F8"/>
      <c r="G8"/>
      <c r="H8"/>
      <c r="I8"/>
      <c r="J8"/>
      <c r="K8"/>
      <c r="L8"/>
      <c r="M8"/>
    </row>
    <row r="9" spans="1:13" s="10" customFormat="1" ht="31.5" customHeight="1" x14ac:dyDescent="0.3">
      <c r="A9" s="79"/>
      <c r="B9"/>
      <c r="C9"/>
      <c r="D9"/>
      <c r="E9"/>
      <c r="F9"/>
      <c r="G9"/>
      <c r="H9"/>
      <c r="I9"/>
      <c r="J9"/>
      <c r="K9"/>
      <c r="L9"/>
      <c r="M9"/>
    </row>
    <row r="10" spans="1:13" s="10" customFormat="1" ht="49.5" customHeight="1" x14ac:dyDescent="0.3">
      <c r="A10" s="79"/>
      <c r="B10"/>
      <c r="C10"/>
      <c r="D10"/>
      <c r="E10"/>
      <c r="F10"/>
      <c r="G10"/>
      <c r="H10"/>
      <c r="I10"/>
      <c r="J10"/>
      <c r="K10"/>
      <c r="L10"/>
      <c r="M10"/>
    </row>
    <row r="11" spans="1:13" s="10" customFormat="1" x14ac:dyDescent="0.3">
      <c r="A11" s="79"/>
      <c r="B11"/>
      <c r="C11"/>
      <c r="D11"/>
      <c r="E11"/>
      <c r="F11"/>
      <c r="G11"/>
      <c r="H11"/>
      <c r="I11"/>
      <c r="J11"/>
      <c r="K11"/>
      <c r="L11"/>
      <c r="M11"/>
    </row>
    <row r="12" spans="1:13" s="10" customFormat="1" x14ac:dyDescent="0.3">
      <c r="A12" s="79"/>
      <c r="B12"/>
      <c r="C12"/>
      <c r="D12"/>
      <c r="E12"/>
      <c r="F12"/>
      <c r="G12"/>
      <c r="H12"/>
      <c r="I12"/>
      <c r="J12"/>
      <c r="K12"/>
      <c r="L12"/>
      <c r="M12"/>
    </row>
    <row r="13" spans="1:13" s="10" customFormat="1" ht="18" customHeight="1" x14ac:dyDescent="0.3">
      <c r="A13" s="79"/>
      <c r="B13"/>
      <c r="C13"/>
      <c r="D13"/>
      <c r="E13"/>
      <c r="F13"/>
      <c r="G13"/>
      <c r="H13"/>
      <c r="I13"/>
      <c r="J13"/>
      <c r="K13"/>
      <c r="L13"/>
      <c r="M13"/>
    </row>
    <row r="14" spans="1:13" s="10" customFormat="1" x14ac:dyDescent="0.3">
      <c r="A14" s="79"/>
      <c r="B14"/>
      <c r="C14"/>
      <c r="D14"/>
      <c r="E14"/>
      <c r="F14"/>
      <c r="G14"/>
      <c r="H14"/>
      <c r="I14"/>
      <c r="J14"/>
      <c r="K14"/>
      <c r="L14"/>
      <c r="M14"/>
    </row>
    <row r="15" spans="1:13" s="10" customFormat="1" x14ac:dyDescent="0.3">
      <c r="A15" s="79"/>
      <c r="B15"/>
      <c r="C15"/>
      <c r="D15"/>
      <c r="E15"/>
      <c r="F15"/>
      <c r="G15"/>
      <c r="H15"/>
      <c r="I15"/>
      <c r="J15"/>
      <c r="K15"/>
      <c r="L15"/>
      <c r="M15"/>
    </row>
    <row r="16" spans="1:13" s="10" customFormat="1" x14ac:dyDescent="0.3">
      <c r="A16" s="79"/>
      <c r="B16"/>
      <c r="C16"/>
      <c r="D16"/>
      <c r="E16"/>
      <c r="F16"/>
      <c r="G16"/>
      <c r="H16"/>
      <c r="I16"/>
      <c r="J16"/>
      <c r="K16"/>
      <c r="L16"/>
      <c r="M16"/>
    </row>
    <row r="17" spans="1:13" s="10" customFormat="1" x14ac:dyDescent="0.3">
      <c r="A17" s="79"/>
      <c r="B17"/>
      <c r="C17"/>
      <c r="D17"/>
      <c r="E17"/>
      <c r="F17"/>
      <c r="G17"/>
      <c r="H17"/>
      <c r="I17"/>
      <c r="J17"/>
      <c r="K17"/>
      <c r="L17"/>
      <c r="M17"/>
    </row>
    <row r="18" spans="1:13" s="10" customFormat="1" x14ac:dyDescent="0.3">
      <c r="A18" s="79"/>
      <c r="B18"/>
      <c r="C18"/>
      <c r="D18"/>
      <c r="E18"/>
      <c r="F18"/>
      <c r="G18"/>
      <c r="H18"/>
      <c r="I18"/>
      <c r="J18"/>
      <c r="K18"/>
      <c r="L18"/>
      <c r="M18"/>
    </row>
    <row r="19" spans="1:13" s="10" customFormat="1" x14ac:dyDescent="0.3">
      <c r="A19" s="79"/>
      <c r="B19"/>
      <c r="C19"/>
      <c r="D19"/>
      <c r="E19"/>
      <c r="F19"/>
      <c r="G19"/>
      <c r="H19"/>
      <c r="I19"/>
      <c r="J19"/>
      <c r="K19"/>
      <c r="L19"/>
      <c r="M19"/>
    </row>
    <row r="20" spans="1:13" s="10" customFormat="1" x14ac:dyDescent="0.3">
      <c r="A20" s="79"/>
      <c r="B20"/>
      <c r="C20"/>
      <c r="D20"/>
      <c r="E20"/>
      <c r="F20"/>
      <c r="G20"/>
      <c r="H20"/>
      <c r="I20"/>
      <c r="J20"/>
      <c r="K20"/>
      <c r="L20"/>
      <c r="M20"/>
    </row>
    <row r="21" spans="1:13" s="10" customFormat="1" x14ac:dyDescent="0.3">
      <c r="A21" s="79"/>
      <c r="B21"/>
      <c r="C21"/>
      <c r="D21"/>
      <c r="E21"/>
      <c r="F21"/>
      <c r="G21"/>
      <c r="H21"/>
      <c r="I21"/>
      <c r="J21"/>
      <c r="K21"/>
      <c r="L21"/>
      <c r="M21"/>
    </row>
  </sheetData>
  <pageMargins left="0.7" right="0.7" top="0.75" bottom="0.75" header="0.3" footer="0.3"/>
  <pageSetup orientation="portrait" r:id="rId1"/>
  <headerFooter>
    <oddHeader>&amp;C&amp;"-,Bold"PIP # - Program name - 2020-21 - Risks</oddHeader>
    <oddFooter>&amp;R&amp;P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3"/>
  <sheetViews>
    <sheetView zoomScaleNormal="100" workbookViewId="0">
      <selection activeCell="C32" sqref="C32"/>
    </sheetView>
  </sheetViews>
  <sheetFormatPr defaultRowHeight="14.4" x14ac:dyDescent="0.3"/>
  <cols>
    <col min="1" max="1" width="40" customWidth="1"/>
    <col min="2" max="2" width="40" bestFit="1" customWidth="1"/>
    <col min="3" max="3" width="46.33203125" customWidth="1"/>
    <col min="4" max="4" width="20.44140625" customWidth="1"/>
    <col min="5" max="5" width="23" style="80" customWidth="1"/>
  </cols>
  <sheetData>
    <row r="1" spans="1:14" ht="28.8" x14ac:dyDescent="0.55000000000000004">
      <c r="A1" s="355" t="s">
        <v>254</v>
      </c>
      <c r="B1" s="355"/>
      <c r="C1" s="355"/>
      <c r="D1" s="355"/>
      <c r="E1" s="101"/>
      <c r="F1" s="80"/>
      <c r="G1" s="80"/>
      <c r="H1" s="80"/>
      <c r="I1" s="80"/>
      <c r="J1" s="80"/>
      <c r="K1" s="80"/>
      <c r="L1" s="80"/>
      <c r="M1" s="80"/>
      <c r="N1" s="80"/>
    </row>
    <row r="2" spans="1:14" x14ac:dyDescent="0.3">
      <c r="A2" s="99" t="s">
        <v>263</v>
      </c>
      <c r="B2" s="99" t="s">
        <v>265</v>
      </c>
      <c r="C2" s="99" t="s">
        <v>264</v>
      </c>
      <c r="D2" s="99" t="s">
        <v>255</v>
      </c>
      <c r="E2" s="102" t="s">
        <v>266</v>
      </c>
      <c r="H2" s="80"/>
    </row>
    <row r="3" spans="1:14" x14ac:dyDescent="0.3">
      <c r="A3" s="98" t="s">
        <v>256</v>
      </c>
      <c r="B3" s="98"/>
    </row>
  </sheetData>
  <mergeCells count="1">
    <mergeCell ref="A1:D1"/>
  </mergeCells>
  <pageMargins left="0.7" right="0.7" top="0.75" bottom="0.75" header="0.3" footer="0.3"/>
  <pageSetup paperSize="5" orientation="landscape" r:id="rId1"/>
  <headerFooter>
    <oddHeader>&amp;C&amp;"-,Bold"&amp;12PIP # - Program name - 2020-21 - Change log</oddHeader>
    <oddFooter>&amp;R&amp;P</oddFooter>
  </headerFooter>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05"/>
  <sheetViews>
    <sheetView topLeftCell="A242" workbookViewId="0">
      <selection activeCell="B250" sqref="B250:B267"/>
    </sheetView>
  </sheetViews>
  <sheetFormatPr defaultColWidth="9.109375" defaultRowHeight="14.4" x14ac:dyDescent="0.3"/>
  <cols>
    <col min="1" max="1" width="147.6640625" style="10" bestFit="1" customWidth="1"/>
    <col min="2" max="2" width="55" style="10" bestFit="1" customWidth="1"/>
    <col min="3" max="3" width="10.44140625" style="10" bestFit="1" customWidth="1"/>
    <col min="4" max="4" width="54.33203125" style="10" bestFit="1" customWidth="1"/>
    <col min="5" max="5" width="9.109375" style="10" customWidth="1"/>
    <col min="6" max="6" width="93.88671875" style="10" customWidth="1"/>
    <col min="7" max="7" width="9.109375" style="10" customWidth="1"/>
    <col min="8" max="10" width="66.109375" style="10" customWidth="1"/>
    <col min="11" max="16384" width="9.109375" style="10"/>
  </cols>
  <sheetData>
    <row r="1" spans="1:11" x14ac:dyDescent="0.3">
      <c r="A1" s="356"/>
      <c r="B1" s="356"/>
      <c r="C1" s="356"/>
      <c r="D1" s="356"/>
      <c r="E1" s="356"/>
      <c r="F1" s="356"/>
      <c r="G1" s="356"/>
      <c r="H1" s="356"/>
      <c r="I1" s="357"/>
      <c r="J1" s="11"/>
      <c r="K1" s="11"/>
    </row>
    <row r="2" spans="1:11" x14ac:dyDescent="0.3">
      <c r="A2" s="12"/>
      <c r="B2" s="12"/>
      <c r="C2" s="12"/>
      <c r="D2" s="25" t="s">
        <v>4</v>
      </c>
      <c r="E2" s="12"/>
      <c r="F2" s="39"/>
      <c r="G2" s="12"/>
      <c r="H2" s="25" t="s">
        <v>6</v>
      </c>
      <c r="I2" s="12"/>
    </row>
    <row r="3" spans="1:11" x14ac:dyDescent="0.3">
      <c r="A3" s="12"/>
      <c r="B3" s="12"/>
      <c r="C3" s="12"/>
      <c r="D3" s="26" t="s">
        <v>3</v>
      </c>
      <c r="E3" s="12"/>
      <c r="F3" s="26"/>
      <c r="G3" s="12"/>
      <c r="H3" s="26" t="s">
        <v>3</v>
      </c>
      <c r="I3" s="12"/>
    </row>
    <row r="4" spans="1:11" x14ac:dyDescent="0.3">
      <c r="A4" s="55" t="s">
        <v>114</v>
      </c>
      <c r="B4" s="40"/>
      <c r="C4" s="12"/>
      <c r="D4" s="27" t="s">
        <v>8</v>
      </c>
      <c r="E4" s="58" t="str">
        <f>_xlfn.CONCAT("""",TRIM(D4),""",")</f>
        <v>"1 - Children",</v>
      </c>
      <c r="F4" s="38"/>
      <c r="G4" s="12"/>
      <c r="H4" s="28"/>
      <c r="I4" s="12"/>
    </row>
    <row r="5" spans="1:11" x14ac:dyDescent="0.3">
      <c r="A5" s="38" t="s">
        <v>295</v>
      </c>
      <c r="B5" s="44"/>
      <c r="C5" s="12"/>
      <c r="D5" s="27" t="s">
        <v>9</v>
      </c>
      <c r="E5" s="58" t="str">
        <f t="shared" ref="E5:G68" si="0">_xlfn.CONCAT("""",TRIM(D5),""",")</f>
        <v>"2 - Youth",</v>
      </c>
      <c r="F5" s="64"/>
      <c r="G5" s="12"/>
      <c r="H5" s="27"/>
      <c r="I5" s="12"/>
    </row>
    <row r="6" spans="1:11" x14ac:dyDescent="0.3">
      <c r="A6" s="20" t="s">
        <v>181</v>
      </c>
      <c r="B6" s="18"/>
      <c r="C6" s="12"/>
      <c r="D6" s="27" t="s">
        <v>10</v>
      </c>
      <c r="E6" s="58" t="str">
        <f t="shared" si="0"/>
        <v>"3 - Seniors",</v>
      </c>
      <c r="F6" s="64"/>
      <c r="G6" s="12"/>
      <c r="H6" s="27"/>
      <c r="I6" s="12"/>
    </row>
    <row r="7" spans="1:11" x14ac:dyDescent="0.3">
      <c r="A7" s="20" t="s">
        <v>142</v>
      </c>
      <c r="B7" s="17"/>
      <c r="C7" s="12"/>
      <c r="D7" s="27" t="s">
        <v>11</v>
      </c>
      <c r="E7" s="58" t="str">
        <f t="shared" si="0"/>
        <v>"4 - Families",</v>
      </c>
      <c r="F7" s="64"/>
      <c r="G7" s="12"/>
      <c r="H7" s="27"/>
      <c r="I7" s="12"/>
    </row>
    <row r="8" spans="1:11" x14ac:dyDescent="0.3">
      <c r="A8" s="21" t="s">
        <v>182</v>
      </c>
      <c r="B8" s="17"/>
      <c r="C8" s="12"/>
      <c r="D8" s="27" t="s">
        <v>12</v>
      </c>
      <c r="E8" s="58" t="str">
        <f t="shared" si="0"/>
        <v>"5 - Women",</v>
      </c>
      <c r="F8" s="64"/>
      <c r="G8" s="12"/>
      <c r="H8" s="27"/>
      <c r="I8" s="12"/>
    </row>
    <row r="9" spans="1:11" x14ac:dyDescent="0.3">
      <c r="A9" s="21" t="s">
        <v>183</v>
      </c>
      <c r="B9" s="17"/>
      <c r="C9" s="12"/>
      <c r="D9" s="27" t="s">
        <v>13</v>
      </c>
      <c r="E9" s="58" t="str">
        <f t="shared" si="0"/>
        <v>"6 - Indigenous people",</v>
      </c>
      <c r="F9" s="64"/>
      <c r="G9" s="12"/>
      <c r="H9" s="27"/>
      <c r="I9" s="12"/>
    </row>
    <row r="10" spans="1:11" x14ac:dyDescent="0.3">
      <c r="A10" s="21" t="s">
        <v>184</v>
      </c>
      <c r="B10" s="17"/>
      <c r="C10" s="12"/>
      <c r="D10" s="27" t="s">
        <v>14</v>
      </c>
      <c r="E10" s="58" t="str">
        <f t="shared" si="0"/>
        <v>"7 - Disabled persons",</v>
      </c>
      <c r="F10" s="64"/>
      <c r="G10" s="12"/>
      <c r="H10" s="27"/>
      <c r="I10" s="12"/>
    </row>
    <row r="11" spans="1:11" x14ac:dyDescent="0.3">
      <c r="A11" s="24" t="s">
        <v>207</v>
      </c>
      <c r="B11" s="17"/>
      <c r="C11" s="12"/>
      <c r="D11" s="27" t="s">
        <v>15</v>
      </c>
      <c r="E11" s="58" t="str">
        <f t="shared" si="0"/>
        <v>"8 - Students",</v>
      </c>
      <c r="F11" s="64"/>
      <c r="G11" s="12"/>
      <c r="H11" s="29"/>
      <c r="I11" s="12"/>
    </row>
    <row r="12" spans="1:11" x14ac:dyDescent="0.3">
      <c r="A12" s="17" t="s">
        <v>296</v>
      </c>
      <c r="B12" s="12"/>
      <c r="C12" s="12"/>
      <c r="D12" s="27" t="s">
        <v>16</v>
      </c>
      <c r="E12" s="58" t="str">
        <f t="shared" si="0"/>
        <v>"9 - Detained and/or formerly incarcerated individuals",</v>
      </c>
      <c r="F12" s="64"/>
      <c r="G12" s="12"/>
      <c r="H12" s="29"/>
      <c r="I12" s="12"/>
    </row>
    <row r="13" spans="1:11" x14ac:dyDescent="0.3">
      <c r="A13" s="12"/>
      <c r="B13" s="13"/>
      <c r="C13" s="12"/>
      <c r="D13" s="27" t="s">
        <v>17</v>
      </c>
      <c r="E13" s="58" t="str">
        <f t="shared" si="0"/>
        <v>"10 - Violators of regulations and/or laws",</v>
      </c>
      <c r="F13" s="64"/>
      <c r="G13" s="12"/>
      <c r="H13" s="29"/>
      <c r="I13" s="12"/>
    </row>
    <row r="14" spans="1:11" x14ac:dyDescent="0.3">
      <c r="A14" s="13"/>
      <c r="B14" s="35"/>
      <c r="C14" s="12"/>
      <c r="D14" s="27" t="s">
        <v>18</v>
      </c>
      <c r="E14" s="58" t="str">
        <f t="shared" si="0"/>
        <v>"11 - Victims",</v>
      </c>
      <c r="F14" s="64"/>
      <c r="G14" s="12"/>
      <c r="H14" s="29"/>
      <c r="I14" s="12"/>
    </row>
    <row r="15" spans="1:11" x14ac:dyDescent="0.3">
      <c r="A15" s="30" t="s">
        <v>1</v>
      </c>
      <c r="B15" s="44"/>
      <c r="C15" s="12"/>
      <c r="D15" s="27" t="s">
        <v>19</v>
      </c>
      <c r="E15" s="58" t="str">
        <f t="shared" si="0"/>
        <v>"12 - Military personnel",</v>
      </c>
      <c r="F15" s="64"/>
      <c r="G15" s="12"/>
      <c r="H15" s="29"/>
      <c r="I15" s="12"/>
    </row>
    <row r="16" spans="1:11" x14ac:dyDescent="0.3">
      <c r="A16" s="26" t="s">
        <v>3</v>
      </c>
      <c r="B16" s="45"/>
      <c r="C16" s="12"/>
      <c r="D16" s="27" t="s">
        <v>20</v>
      </c>
      <c r="E16" s="58" t="str">
        <f t="shared" si="0"/>
        <v>"13 - Veterans",</v>
      </c>
      <c r="F16" s="64"/>
      <c r="G16" s="12"/>
      <c r="H16" s="29"/>
      <c r="I16" s="12"/>
    </row>
    <row r="17" spans="1:11" x14ac:dyDescent="0.3">
      <c r="A17" s="27" t="s">
        <v>107</v>
      </c>
      <c r="B17" s="45"/>
      <c r="C17" s="12"/>
      <c r="D17" s="27" t="s">
        <v>21</v>
      </c>
      <c r="E17" s="58" t="str">
        <f t="shared" si="0"/>
        <v>"14 - Workers",</v>
      </c>
      <c r="F17" s="27"/>
      <c r="G17" s="12"/>
      <c r="H17" s="29"/>
      <c r="I17" s="12"/>
    </row>
    <row r="18" spans="1:11" x14ac:dyDescent="0.3">
      <c r="A18" s="27" t="s">
        <v>108</v>
      </c>
      <c r="B18" s="45"/>
      <c r="C18" s="12"/>
      <c r="D18" s="27" t="s">
        <v>22</v>
      </c>
      <c r="E18" s="58" t="str">
        <f t="shared" si="0"/>
        <v>"15 - Voters",</v>
      </c>
      <c r="F18" s="27"/>
      <c r="G18" s="12"/>
      <c r="H18" s="29"/>
      <c r="I18" s="12"/>
    </row>
    <row r="19" spans="1:11" x14ac:dyDescent="0.3">
      <c r="A19" s="27" t="s">
        <v>105</v>
      </c>
      <c r="B19" s="45"/>
      <c r="C19" s="12"/>
      <c r="D19" s="27" t="s">
        <v>23</v>
      </c>
      <c r="E19" s="58" t="str">
        <f t="shared" si="0"/>
        <v>"16 - Consumers",</v>
      </c>
      <c r="F19" s="27"/>
      <c r="G19" s="12"/>
      <c r="H19" s="29"/>
      <c r="I19" s="12"/>
    </row>
    <row r="20" spans="1:11" x14ac:dyDescent="0.3">
      <c r="A20" s="27" t="s">
        <v>106</v>
      </c>
      <c r="B20" s="45"/>
      <c r="C20" s="12"/>
      <c r="D20" s="27" t="s">
        <v>24</v>
      </c>
      <c r="E20" s="58" t="str">
        <f t="shared" si="0"/>
        <v>"17 - Unemployed",</v>
      </c>
      <c r="F20" s="38" t="s">
        <v>3</v>
      </c>
      <c r="G20" s="12"/>
      <c r="H20" s="29"/>
      <c r="I20" s="12"/>
    </row>
    <row r="21" spans="1:11" x14ac:dyDescent="0.3">
      <c r="A21" s="27" t="s">
        <v>109</v>
      </c>
      <c r="B21" s="45"/>
      <c r="C21" s="12"/>
      <c r="D21" s="27" t="s">
        <v>25</v>
      </c>
      <c r="E21" s="58" t="str">
        <f t="shared" si="0"/>
        <v>"18 - Low-income individuals and/or families",</v>
      </c>
      <c r="F21" s="27" t="s">
        <v>187</v>
      </c>
      <c r="G21" s="12"/>
      <c r="H21" s="29"/>
      <c r="I21" s="12"/>
    </row>
    <row r="22" spans="1:11" x14ac:dyDescent="0.3">
      <c r="A22" s="27" t="s">
        <v>97</v>
      </c>
      <c r="B22" s="46"/>
      <c r="C22" s="12"/>
      <c r="D22" s="27" t="s">
        <v>26</v>
      </c>
      <c r="E22" s="58" t="str">
        <f t="shared" si="0"/>
        <v>"19 - Scientific researchers",</v>
      </c>
      <c r="F22" s="27" t="s">
        <v>185</v>
      </c>
      <c r="G22" s="12"/>
      <c r="H22" s="22"/>
      <c r="I22" s="12"/>
    </row>
    <row r="23" spans="1:11" x14ac:dyDescent="0.3">
      <c r="A23" s="29" t="s">
        <v>98</v>
      </c>
      <c r="B23" s="46"/>
      <c r="C23" s="12"/>
      <c r="D23" s="27" t="s">
        <v>27</v>
      </c>
      <c r="E23" s="58" t="str">
        <f t="shared" si="0"/>
        <v>"20 - Socio-economic researchers",</v>
      </c>
      <c r="F23" s="27" t="s">
        <v>186</v>
      </c>
      <c r="G23" s="12"/>
      <c r="H23" s="12"/>
      <c r="I23" s="12"/>
    </row>
    <row r="24" spans="1:11" x14ac:dyDescent="0.3">
      <c r="A24" s="29" t="s">
        <v>99</v>
      </c>
      <c r="B24" s="46"/>
      <c r="C24" s="12"/>
      <c r="D24" s="27" t="s">
        <v>28</v>
      </c>
      <c r="E24" s="58" t="str">
        <f t="shared" si="0"/>
        <v>"21 - Health care professionals",</v>
      </c>
      <c r="F24" s="27" t="s">
        <v>450</v>
      </c>
      <c r="G24" s="12"/>
      <c r="H24" s="23" t="s">
        <v>111</v>
      </c>
      <c r="I24" s="12"/>
    </row>
    <row r="25" spans="1:11" x14ac:dyDescent="0.3">
      <c r="A25" s="31" t="s">
        <v>96</v>
      </c>
      <c r="B25" s="12"/>
      <c r="C25" s="12"/>
      <c r="D25" s="27" t="s">
        <v>29</v>
      </c>
      <c r="E25" s="58" t="str">
        <f t="shared" si="0"/>
        <v>"22 - Law enforcement officials",</v>
      </c>
      <c r="F25" s="38" t="s">
        <v>3</v>
      </c>
      <c r="G25" s="12"/>
      <c r="H25" s="26" t="s">
        <v>3</v>
      </c>
      <c r="I25" s="12"/>
    </row>
    <row r="26" spans="1:11" x14ac:dyDescent="0.3">
      <c r="A26" s="12"/>
      <c r="B26" s="47"/>
      <c r="C26" s="12"/>
      <c r="D26" s="27" t="s">
        <v>30</v>
      </c>
      <c r="E26" s="58" t="str">
        <f t="shared" si="0"/>
        <v>"23 - Legal professionals",</v>
      </c>
      <c r="F26" s="27" t="s">
        <v>189</v>
      </c>
      <c r="G26" s="12"/>
      <c r="H26" s="62" t="s">
        <v>171</v>
      </c>
      <c r="I26" s="58" t="str">
        <f>_xlfn.CONCAT("""",TRIM(H26),""",")</f>
        <v>"CGCC – Clean Growth and Climate Change (ECCC)",</v>
      </c>
    </row>
    <row r="27" spans="1:11" x14ac:dyDescent="0.3">
      <c r="A27" s="32" t="s">
        <v>90</v>
      </c>
      <c r="B27" s="48"/>
      <c r="C27" s="12"/>
      <c r="D27" s="27" t="s">
        <v>31</v>
      </c>
      <c r="E27" s="58" t="str">
        <f t="shared" si="0"/>
        <v>"24 - Artists and/or performers",</v>
      </c>
      <c r="F27" s="27" t="s">
        <v>188</v>
      </c>
      <c r="G27" s="12"/>
      <c r="H27" s="62" t="s">
        <v>262</v>
      </c>
      <c r="I27" s="58" t="str">
        <f t="shared" ref="I27" si="1">_xlfn.CONCAT("""",TRIM(H27),""",")</f>
        <v>"Emergency Management Strategy (PSC)",</v>
      </c>
    </row>
    <row r="28" spans="1:11" x14ac:dyDescent="0.3">
      <c r="A28" s="33" t="s">
        <v>3</v>
      </c>
      <c r="B28" s="45"/>
      <c r="C28" s="12"/>
      <c r="D28" s="27" t="s">
        <v>32</v>
      </c>
      <c r="E28" s="58" t="str">
        <f t="shared" si="0"/>
        <v>"25 - Athletes and/or coaches",</v>
      </c>
      <c r="F28" s="27"/>
      <c r="G28" s="12"/>
      <c r="H28" s="62" t="s">
        <v>260</v>
      </c>
      <c r="I28" s="58" t="str">
        <f t="shared" ref="I28" si="2">_xlfn.CONCAT("""",TRIM(H28),""",")</f>
        <v>"FCSAP – Federal Contaminated Sites Action Plan (ECCC)",</v>
      </c>
      <c r="J28" s="14"/>
      <c r="K28" s="14"/>
    </row>
    <row r="29" spans="1:11" x14ac:dyDescent="0.3">
      <c r="A29" s="27" t="s">
        <v>91</v>
      </c>
      <c r="B29" s="45"/>
      <c r="C29" s="12"/>
      <c r="D29" s="27" t="s">
        <v>33</v>
      </c>
      <c r="E29" s="58" t="str">
        <f t="shared" si="0"/>
        <v>"26 - Farmers",</v>
      </c>
      <c r="F29" s="27"/>
      <c r="G29" s="12"/>
      <c r="H29" s="63" t="s">
        <v>170</v>
      </c>
      <c r="I29" s="58" t="str">
        <f t="shared" ref="I29" si="3">_xlfn.CONCAT("""",TRIM(H29),""",")</f>
        <v>"IICP – Investing in Infrastructure Canada Plan (INFC)",</v>
      </c>
      <c r="J29" s="14"/>
      <c r="K29" s="14"/>
    </row>
    <row r="30" spans="1:11" x14ac:dyDescent="0.3">
      <c r="A30" s="27" t="s">
        <v>92</v>
      </c>
      <c r="B30" s="45"/>
      <c r="C30" s="12"/>
      <c r="D30" s="27" t="s">
        <v>34</v>
      </c>
      <c r="E30" s="58" t="str">
        <f t="shared" si="0"/>
        <v>"27 - Members of Parliament",</v>
      </c>
      <c r="F30" s="27"/>
      <c r="G30" s="12"/>
      <c r="H30" s="62" t="s">
        <v>257</v>
      </c>
      <c r="I30" s="58" t="str">
        <f t="shared" ref="I30" si="4">_xlfn.CONCAT("""",TRIM(H30),""",")</f>
        <v>"IARP – Impact Assessment and Regulatory Processes (CEAA)",</v>
      </c>
    </row>
    <row r="31" spans="1:11" x14ac:dyDescent="0.3">
      <c r="A31" s="27" t="s">
        <v>93</v>
      </c>
      <c r="B31" s="45"/>
      <c r="C31" s="12"/>
      <c r="D31" s="27" t="s">
        <v>35</v>
      </c>
      <c r="E31" s="58" t="str">
        <f t="shared" si="0"/>
        <v>"28 - Language minorities",</v>
      </c>
      <c r="F31" s="27"/>
      <c r="G31" s="12"/>
      <c r="H31" s="62" t="s">
        <v>169</v>
      </c>
      <c r="I31" s="58" t="str">
        <f t="shared" ref="I31" si="5">_xlfn.CONCAT("""",TRIM(H31),""",")</f>
        <v>"MPMOI –  Major projects Management Office (NRCan)",</v>
      </c>
    </row>
    <row r="32" spans="1:11" x14ac:dyDescent="0.3">
      <c r="A32" s="27" t="s">
        <v>94</v>
      </c>
      <c r="B32" s="45"/>
      <c r="C32" s="12"/>
      <c r="D32" s="27" t="s">
        <v>36</v>
      </c>
      <c r="E32" s="58" t="str">
        <f t="shared" si="0"/>
        <v>"29 - Canadians travelling, working, studying, and/or living abroad",</v>
      </c>
      <c r="F32" s="27"/>
      <c r="G32" s="12"/>
      <c r="H32" s="100" t="s">
        <v>259</v>
      </c>
      <c r="I32" s="58" t="str">
        <f t="shared" ref="I32" si="6">_xlfn.CONCAT("""",TRIM(H32),""",")</f>
        <v>"National Cyber Security Strategy (PSC)",</v>
      </c>
    </row>
    <row r="33" spans="1:11" x14ac:dyDescent="0.3">
      <c r="A33" s="27" t="s">
        <v>95</v>
      </c>
      <c r="B33" s="45"/>
      <c r="C33" s="12"/>
      <c r="D33" s="27" t="s">
        <v>37</v>
      </c>
      <c r="E33" s="58" t="str">
        <f t="shared" si="0"/>
        <v>"30 - Immigrants and/or refugees",</v>
      </c>
      <c r="F33" s="27"/>
      <c r="G33" s="12"/>
      <c r="H33" s="100" t="s">
        <v>258</v>
      </c>
      <c r="I33" s="58" t="str">
        <f t="shared" ref="I33" si="7">_xlfn.CONCAT("""",TRIM(H33),""",")</f>
        <v>"Nature Legacy – Species at Risk (ECCC)",</v>
      </c>
    </row>
    <row r="34" spans="1:11" x14ac:dyDescent="0.3">
      <c r="A34" s="34" t="s">
        <v>96</v>
      </c>
      <c r="B34" s="15"/>
      <c r="C34" s="12"/>
      <c r="D34" s="27" t="s">
        <v>38</v>
      </c>
      <c r="E34" s="58" t="str">
        <f t="shared" si="0"/>
        <v>"31 - International students",</v>
      </c>
      <c r="F34" s="27"/>
      <c r="G34" s="12"/>
      <c r="H34" s="100" t="s">
        <v>261</v>
      </c>
      <c r="I34" s="58" t="str">
        <f t="shared" ref="I34" si="8">_xlfn.CONCAT("""",TRIM(H34),""",")</f>
        <v>"OPP – Oceans Protection Plan (TC)",</v>
      </c>
    </row>
    <row r="35" spans="1:11" x14ac:dyDescent="0.3">
      <c r="A35" s="15"/>
      <c r="B35" s="35"/>
      <c r="C35" s="12"/>
      <c r="D35" s="27" t="s">
        <v>39</v>
      </c>
      <c r="E35" s="58" t="str">
        <f t="shared" si="0"/>
        <v>"32 - Tourists and/or foreign visitors",</v>
      </c>
      <c r="F35" s="27"/>
      <c r="G35" s="12"/>
      <c r="H35" s="20"/>
      <c r="I35" s="58" t="str">
        <f t="shared" ref="I35" si="9">_xlfn.CONCAT("""",TRIM(H35),""",")</f>
        <v>"",</v>
      </c>
    </row>
    <row r="36" spans="1:11" x14ac:dyDescent="0.3">
      <c r="A36" s="30" t="s">
        <v>5</v>
      </c>
      <c r="B36" s="44"/>
      <c r="C36" s="12"/>
      <c r="D36" s="27" t="s">
        <v>40</v>
      </c>
      <c r="E36" s="58" t="str">
        <f t="shared" si="0"/>
        <v>"33 - Foreign and/or migrant workers",</v>
      </c>
      <c r="F36" s="27"/>
      <c r="G36" s="12"/>
      <c r="H36" s="20"/>
      <c r="I36" s="58" t="str">
        <f t="shared" ref="I36:I41" si="10">_xlfn.CONCAT("""",TRIM(H36),""",")</f>
        <v>"",</v>
      </c>
    </row>
    <row r="37" spans="1:11" x14ac:dyDescent="0.3">
      <c r="A37" s="26" t="s">
        <v>3</v>
      </c>
      <c r="B37" s="45"/>
      <c r="C37" s="12"/>
      <c r="D37" s="27" t="s">
        <v>41</v>
      </c>
      <c r="E37" s="58" t="str">
        <f t="shared" si="0"/>
        <v>"34 - Foreign investors and/or foreign entrepreneurs",</v>
      </c>
      <c r="F37" s="27"/>
      <c r="G37" s="12"/>
      <c r="H37" s="20"/>
      <c r="I37" s="58" t="str">
        <f t="shared" si="10"/>
        <v>"",</v>
      </c>
      <c r="J37" s="14"/>
      <c r="K37" s="14"/>
    </row>
    <row r="38" spans="1:11" x14ac:dyDescent="0.3">
      <c r="A38" s="27" t="s">
        <v>335</v>
      </c>
      <c r="B38" s="58" t="str">
        <f>_xlfn.CONCAT("""",TRIM(A38),""",")</f>
        <v>"Programs / Services for Canadians",</v>
      </c>
      <c r="C38" s="12"/>
      <c r="D38" s="27" t="s">
        <v>42</v>
      </c>
      <c r="E38" s="58" t="str">
        <f t="shared" si="0"/>
        <v>"35 - General public",</v>
      </c>
      <c r="F38" s="27"/>
      <c r="G38" s="12"/>
      <c r="H38" s="20"/>
      <c r="I38" s="58" t="str">
        <f t="shared" si="10"/>
        <v>"",</v>
      </c>
      <c r="J38" s="14"/>
      <c r="K38" s="14"/>
    </row>
    <row r="39" spans="1:11" x14ac:dyDescent="0.3">
      <c r="A39" s="27" t="s">
        <v>333</v>
      </c>
      <c r="B39" s="58" t="str">
        <f t="shared" ref="B39:B46" si="11">_xlfn.CONCAT("""",TRIM(A39),""",")</f>
        <v>"Regulation / Legislation",</v>
      </c>
      <c r="C39" s="12"/>
      <c r="D39" s="27" t="s">
        <v>43</v>
      </c>
      <c r="E39" s="58" t="str">
        <f t="shared" si="0"/>
        <v>"36 - Dependants of Military and Law Enforcement Veterans",</v>
      </c>
      <c r="F39" s="27"/>
      <c r="G39" s="12"/>
      <c r="H39" s="20"/>
      <c r="I39" s="58" t="str">
        <f t="shared" si="10"/>
        <v>"",</v>
      </c>
      <c r="J39" s="14"/>
      <c r="K39" s="14"/>
    </row>
    <row r="40" spans="1:11" x14ac:dyDescent="0.3">
      <c r="A40" s="27" t="s">
        <v>334</v>
      </c>
      <c r="B40" s="58" t="str">
        <f t="shared" si="11"/>
        <v>"Management / Oversight of Federal Activities",</v>
      </c>
      <c r="C40" s="15"/>
      <c r="D40" s="27" t="s">
        <v>44</v>
      </c>
      <c r="E40" s="58" t="str">
        <f t="shared" si="0"/>
        <v>"37 - Non-governmental organizations (NGO)",</v>
      </c>
      <c r="F40" s="27"/>
      <c r="G40" s="15"/>
      <c r="H40" s="20"/>
      <c r="I40" s="58" t="str">
        <f t="shared" si="10"/>
        <v>"",</v>
      </c>
      <c r="J40" s="15"/>
      <c r="K40" s="15"/>
    </row>
    <row r="41" spans="1:11" x14ac:dyDescent="0.3">
      <c r="A41" s="27" t="s">
        <v>332</v>
      </c>
      <c r="B41" s="58" t="str">
        <f t="shared" si="11"/>
        <v>"Grant",</v>
      </c>
      <c r="C41" s="15"/>
      <c r="D41" s="27" t="s">
        <v>45</v>
      </c>
      <c r="E41" s="58" t="str">
        <f t="shared" si="0"/>
        <v>"38 - Health care and/or social assistance sectors",</v>
      </c>
      <c r="F41" s="27"/>
      <c r="G41" s="15"/>
      <c r="H41" s="20"/>
      <c r="I41" s="58" t="str">
        <f t="shared" si="10"/>
        <v>"",</v>
      </c>
      <c r="J41" s="15"/>
      <c r="K41" s="15"/>
    </row>
    <row r="42" spans="1:11" x14ac:dyDescent="0.3">
      <c r="A42" s="27" t="s">
        <v>338</v>
      </c>
      <c r="B42" s="58" t="str">
        <f t="shared" si="11"/>
        <v>"Contribution",</v>
      </c>
      <c r="C42" s="15"/>
      <c r="D42" s="27" t="s">
        <v>46</v>
      </c>
      <c r="E42" s="58" t="str">
        <f t="shared" si="0"/>
        <v>"39 - Heritage institutions",</v>
      </c>
      <c r="F42" s="27"/>
      <c r="G42" s="15"/>
      <c r="H42" s="20"/>
      <c r="I42" s="15"/>
      <c r="J42" s="15"/>
      <c r="K42" s="15"/>
    </row>
    <row r="43" spans="1:11" x14ac:dyDescent="0.3">
      <c r="A43" s="27" t="s">
        <v>339</v>
      </c>
      <c r="B43" s="58" t="str">
        <f t="shared" si="11"/>
        <v>"Other Transfer Payments",</v>
      </c>
      <c r="C43" s="15"/>
      <c r="D43" s="27" t="s">
        <v>47</v>
      </c>
      <c r="E43" s="58" t="str">
        <f t="shared" si="0"/>
        <v>"40 - Colleges and/or universities",</v>
      </c>
      <c r="F43" s="27"/>
      <c r="G43" s="15"/>
      <c r="H43" s="20"/>
      <c r="I43" s="15"/>
      <c r="J43" s="15"/>
      <c r="K43" s="15"/>
    </row>
    <row r="44" spans="1:11" x14ac:dyDescent="0.3">
      <c r="A44" s="27" t="s">
        <v>336</v>
      </c>
      <c r="B44" s="58" t="str">
        <f t="shared" si="11"/>
        <v>"Enterprise-Wide Program / Service",</v>
      </c>
      <c r="C44" s="15"/>
      <c r="D44" s="27" t="s">
        <v>48</v>
      </c>
      <c r="E44" s="58" t="str">
        <f t="shared" si="0"/>
        <v>"41 - Agriculture industry",</v>
      </c>
      <c r="F44" s="27"/>
      <c r="G44" s="15"/>
      <c r="H44" s="20"/>
      <c r="I44" s="15"/>
      <c r="J44" s="15"/>
      <c r="K44" s="15"/>
    </row>
    <row r="45" spans="1:11" x14ac:dyDescent="0.3">
      <c r="A45" s="34" t="s">
        <v>337</v>
      </c>
      <c r="B45" s="58" t="str">
        <f t="shared" si="11"/>
        <v>"Safety or Security Program / Service",</v>
      </c>
      <c r="C45" s="15"/>
      <c r="D45" s="27" t="s">
        <v>49</v>
      </c>
      <c r="E45" s="58" t="str">
        <f t="shared" si="0"/>
        <v>"42 - Forestry industry",</v>
      </c>
      <c r="F45" s="27"/>
      <c r="G45" s="15"/>
      <c r="H45" s="20"/>
      <c r="I45" s="15"/>
      <c r="J45" s="15"/>
      <c r="K45" s="15"/>
    </row>
    <row r="46" spans="1:11" x14ac:dyDescent="0.3">
      <c r="A46" s="15"/>
      <c r="B46" s="58" t="str">
        <f t="shared" si="11"/>
        <v>"",</v>
      </c>
      <c r="C46" s="12"/>
      <c r="D46" s="27" t="s">
        <v>50</v>
      </c>
      <c r="E46" s="58" t="str">
        <f t="shared" si="0"/>
        <v>"43 - Mining, and/or oil &amp; gas exploration industries",</v>
      </c>
      <c r="F46" s="27"/>
      <c r="G46" s="12"/>
      <c r="H46" s="20"/>
      <c r="I46" s="14"/>
      <c r="J46" s="14"/>
      <c r="K46" s="14"/>
    </row>
    <row r="47" spans="1:11" x14ac:dyDescent="0.3">
      <c r="A47" s="35" t="s">
        <v>7</v>
      </c>
      <c r="B47" s="50"/>
      <c r="C47" s="15"/>
      <c r="D47" s="27" t="s">
        <v>51</v>
      </c>
      <c r="E47" s="58" t="str">
        <f t="shared" si="0"/>
        <v>"44 - Energy and/or utilities sector",</v>
      </c>
      <c r="F47" s="27"/>
      <c r="G47" s="15"/>
      <c r="H47" s="20"/>
      <c r="I47" s="15"/>
      <c r="J47" s="15"/>
      <c r="K47" s="15"/>
    </row>
    <row r="48" spans="1:11" x14ac:dyDescent="0.3">
      <c r="A48" s="49" t="s">
        <v>3</v>
      </c>
      <c r="B48" s="70" t="s">
        <v>3</v>
      </c>
      <c r="C48" s="15"/>
      <c r="D48" s="27" t="s">
        <v>52</v>
      </c>
      <c r="E48" s="58" t="str">
        <f t="shared" si="0"/>
        <v>"45 - Manufacturing industry",</v>
      </c>
      <c r="F48" s="27"/>
      <c r="G48" s="15"/>
      <c r="H48" s="20"/>
      <c r="I48" s="15"/>
      <c r="J48" s="15"/>
      <c r="K48" s="15"/>
    </row>
    <row r="49" spans="1:11" x14ac:dyDescent="0.3">
      <c r="A49" s="51" t="s">
        <v>118</v>
      </c>
      <c r="B49" s="52" t="s">
        <v>129</v>
      </c>
      <c r="C49" s="15"/>
      <c r="D49" s="27" t="s">
        <v>53</v>
      </c>
      <c r="E49" s="58" t="str">
        <f t="shared" si="0"/>
        <v>"46 - Import / export sectors",</v>
      </c>
      <c r="F49" s="27"/>
      <c r="G49" s="15"/>
      <c r="H49" s="20"/>
      <c r="I49" s="15"/>
      <c r="J49" s="15"/>
      <c r="K49" s="15"/>
    </row>
    <row r="50" spans="1:11" x14ac:dyDescent="0.3">
      <c r="A50" s="51" t="s">
        <v>119</v>
      </c>
      <c r="B50" s="52" t="s">
        <v>130</v>
      </c>
      <c r="C50" s="15"/>
      <c r="D50" s="27" t="s">
        <v>54</v>
      </c>
      <c r="E50" s="58" t="str">
        <f t="shared" si="0"/>
        <v>"47 - Retail industry",</v>
      </c>
      <c r="F50" s="27"/>
      <c r="G50" s="15"/>
      <c r="H50" s="21"/>
      <c r="I50" s="15"/>
      <c r="J50" s="15"/>
      <c r="K50" s="15"/>
    </row>
    <row r="51" spans="1:11" x14ac:dyDescent="0.3">
      <c r="A51" s="51" t="s">
        <v>120</v>
      </c>
      <c r="B51" s="52" t="s">
        <v>131</v>
      </c>
      <c r="C51" s="15"/>
      <c r="D51" s="27" t="s">
        <v>55</v>
      </c>
      <c r="E51" s="58" t="str">
        <f t="shared" si="0"/>
        <v>"48 - Transportation industry",</v>
      </c>
      <c r="F51" s="21"/>
      <c r="G51" s="15"/>
      <c r="H51" s="21"/>
      <c r="I51" s="15"/>
      <c r="J51" s="15"/>
      <c r="K51" s="15"/>
    </row>
    <row r="52" spans="1:11" x14ac:dyDescent="0.3">
      <c r="A52" s="51" t="s">
        <v>132</v>
      </c>
      <c r="B52" s="52" t="s">
        <v>132</v>
      </c>
      <c r="C52" s="15"/>
      <c r="D52" s="27" t="s">
        <v>56</v>
      </c>
      <c r="E52" s="58" t="str">
        <f t="shared" si="0"/>
        <v>"49 - Movie, television, and/or publishing sectors",</v>
      </c>
      <c r="F52" s="21"/>
      <c r="G52" s="15"/>
      <c r="H52" s="21"/>
      <c r="I52" s="15"/>
      <c r="J52" s="15"/>
      <c r="K52" s="15"/>
    </row>
    <row r="53" spans="1:11" x14ac:dyDescent="0.3">
      <c r="A53" s="51"/>
      <c r="B53" s="53"/>
      <c r="C53" s="17"/>
      <c r="D53" s="27" t="s">
        <v>57</v>
      </c>
      <c r="E53" s="58" t="str">
        <f t="shared" si="0"/>
        <v>"50 - Telecommunications sector",</v>
      </c>
      <c r="F53" s="21"/>
      <c r="G53" s="17"/>
      <c r="H53" s="21"/>
      <c r="I53" s="17"/>
      <c r="J53" s="17"/>
      <c r="K53" s="17"/>
    </row>
    <row r="54" spans="1:11" x14ac:dyDescent="0.3">
      <c r="A54" s="19"/>
      <c r="B54" s="15"/>
      <c r="C54" s="16"/>
      <c r="D54" s="27" t="s">
        <v>58</v>
      </c>
      <c r="E54" s="58" t="str">
        <f t="shared" si="0"/>
        <v>"51 - Science and technology industry",</v>
      </c>
      <c r="F54" s="24"/>
      <c r="G54" s="16"/>
      <c r="H54" s="21"/>
      <c r="I54" s="16"/>
      <c r="J54" s="16"/>
      <c r="K54" s="16"/>
    </row>
    <row r="55" spans="1:11" x14ac:dyDescent="0.3">
      <c r="A55" s="15"/>
      <c r="B55" s="56"/>
      <c r="C55" s="12"/>
      <c r="D55" s="27" t="s">
        <v>59</v>
      </c>
      <c r="E55" s="58" t="str">
        <f t="shared" si="0"/>
        <v>"52 - Finance and/or insurance sectors",</v>
      </c>
      <c r="F55" s="15"/>
      <c r="G55" s="12"/>
      <c r="H55" s="20"/>
      <c r="I55" s="14"/>
      <c r="J55" s="14"/>
      <c r="K55" s="14"/>
    </row>
    <row r="56" spans="1:11" x14ac:dyDescent="0.3">
      <c r="A56" s="56" t="s">
        <v>117</v>
      </c>
      <c r="B56" s="56"/>
      <c r="C56" s="12"/>
      <c r="D56" s="27" t="s">
        <v>60</v>
      </c>
      <c r="E56" s="58" t="str">
        <f t="shared" si="0"/>
        <v>"53 - Housing sector",</v>
      </c>
      <c r="F56" s="54" t="s">
        <v>124</v>
      </c>
      <c r="G56" s="12"/>
      <c r="H56" s="22"/>
      <c r="I56" s="14"/>
      <c r="J56" s="14"/>
      <c r="K56" s="14"/>
    </row>
    <row r="57" spans="1:11" x14ac:dyDescent="0.3">
      <c r="A57" s="59" t="s">
        <v>121</v>
      </c>
      <c r="B57" s="57"/>
      <c r="C57" s="15"/>
      <c r="D57" s="27" t="s">
        <v>61</v>
      </c>
      <c r="E57" s="58" t="str">
        <f t="shared" si="0"/>
        <v>"54 - Sports and/or recreation industry",</v>
      </c>
      <c r="F57" s="26" t="s">
        <v>3</v>
      </c>
      <c r="G57" s="15"/>
      <c r="H57" s="15"/>
      <c r="I57" s="15"/>
      <c r="J57" s="15"/>
      <c r="K57" s="15"/>
    </row>
    <row r="58" spans="1:11" x14ac:dyDescent="0.3">
      <c r="A58" s="41" t="s">
        <v>3</v>
      </c>
      <c r="B58" s="16"/>
      <c r="C58" s="15"/>
      <c r="D58" s="27" t="s">
        <v>62</v>
      </c>
      <c r="E58" s="58" t="str">
        <f t="shared" si="0"/>
        <v>"55 - Hospitality and/or food services industry",</v>
      </c>
      <c r="F58" s="21" t="s">
        <v>146</v>
      </c>
      <c r="G58" s="58" t="str">
        <f>_xlfn.CONCAT("""",TRIM(F58),""",")</f>
        <v>"Economic Affairs - income security and employment for Canadians",</v>
      </c>
      <c r="H58" s="12"/>
      <c r="I58" s="15"/>
      <c r="J58" s="15"/>
      <c r="K58" s="15"/>
    </row>
    <row r="59" spans="1:11" x14ac:dyDescent="0.3">
      <c r="A59" s="21" t="s">
        <v>160</v>
      </c>
      <c r="B59" s="16" t="str">
        <f>_xlfn.CONCAT("""",A59,""",")</f>
        <v>"R1 Canadians have access to cutting-edge research to inform decisions on the management  of natural resources",</v>
      </c>
      <c r="C59" s="15"/>
      <c r="D59" s="27" t="s">
        <v>63</v>
      </c>
      <c r="E59" s="58" t="str">
        <f t="shared" si="0"/>
        <v>"56 - Training and/or educational sectors",</v>
      </c>
      <c r="F59" s="21" t="s">
        <v>143</v>
      </c>
      <c r="G59" s="58" t="str">
        <f t="shared" si="0"/>
        <v>"Economic Affairs - Strong economic growth",</v>
      </c>
      <c r="H59" s="15"/>
      <c r="I59" s="15"/>
      <c r="J59" s="15"/>
      <c r="K59" s="15"/>
    </row>
    <row r="60" spans="1:11" x14ac:dyDescent="0.3">
      <c r="A60" s="21" t="s">
        <v>161</v>
      </c>
      <c r="B60" s="16" t="str">
        <f t="shared" ref="B60:B61" si="12">_xlfn.CONCAT("""",A60,""",")</f>
        <v>"R2 Communities and officials have the tools to safeguard Canadians from natural hazards and explosives",</v>
      </c>
      <c r="C60" s="15"/>
      <c r="D60" s="27" t="s">
        <v>64</v>
      </c>
      <c r="E60" s="58" t="str">
        <f t="shared" si="0"/>
        <v>"57 - Performing arts sector",</v>
      </c>
      <c r="F60" s="21" t="s">
        <v>144</v>
      </c>
      <c r="G60" s="58" t="str">
        <f t="shared" si="0"/>
        <v>"Economic Affairs - an innovative and knowledge based economy",</v>
      </c>
      <c r="H60" s="15"/>
      <c r="I60" s="15"/>
      <c r="J60" s="15"/>
      <c r="K60" s="15"/>
    </row>
    <row r="61" spans="1:11" x14ac:dyDescent="0.3">
      <c r="A61" s="21" t="s">
        <v>162</v>
      </c>
      <c r="B61" s="16" t="str">
        <f t="shared" si="12"/>
        <v>"R3 Communities and industries are adapting to climate change",</v>
      </c>
      <c r="C61" s="15"/>
      <c r="D61" s="27" t="s">
        <v>65</v>
      </c>
      <c r="E61" s="58" t="str">
        <f t="shared" si="0"/>
        <v>"58 - Infrastructure",</v>
      </c>
      <c r="F61" s="21" t="s">
        <v>145</v>
      </c>
      <c r="G61" s="58" t="str">
        <f t="shared" si="0"/>
        <v>"Economic Affairs - a clean and healthy environment",</v>
      </c>
      <c r="H61" s="15"/>
      <c r="I61" s="15"/>
      <c r="J61" s="15"/>
      <c r="K61" s="15"/>
    </row>
    <row r="62" spans="1:11" x14ac:dyDescent="0.3">
      <c r="A62" s="42" t="s">
        <v>122</v>
      </c>
      <c r="B62" s="57"/>
      <c r="C62" s="15"/>
      <c r="D62" s="27" t="s">
        <v>66</v>
      </c>
      <c r="E62" s="58" t="str">
        <f t="shared" si="0"/>
        <v>"59 - Indigenous/northern businesses",</v>
      </c>
      <c r="F62" s="21" t="s">
        <v>147</v>
      </c>
      <c r="G62" s="58" t="str">
        <f t="shared" si="0"/>
        <v>"Economic Affairs - a fair and secure market place",</v>
      </c>
      <c r="H62" s="15"/>
      <c r="I62" s="15"/>
      <c r="J62" s="14"/>
      <c r="K62" s="14"/>
    </row>
    <row r="63" spans="1:11" x14ac:dyDescent="0.3">
      <c r="A63" s="41" t="s">
        <v>3</v>
      </c>
      <c r="B63" s="16"/>
      <c r="C63" s="17"/>
      <c r="D63" s="27" t="s">
        <v>67</v>
      </c>
      <c r="E63" s="58" t="str">
        <f t="shared" si="0"/>
        <v>"60 - Small and Medium Enterprises",</v>
      </c>
      <c r="F63" s="15" t="s">
        <v>148</v>
      </c>
      <c r="G63" s="58" t="str">
        <f t="shared" si="0"/>
        <v>"Social Affairs - healthy Canadians",</v>
      </c>
      <c r="H63" s="15"/>
      <c r="I63" s="17"/>
      <c r="J63" s="15"/>
      <c r="K63" s="15"/>
    </row>
    <row r="64" spans="1:11" x14ac:dyDescent="0.3">
      <c r="A64" s="61" t="s">
        <v>163</v>
      </c>
      <c r="B64" s="16" t="str">
        <f t="shared" ref="B64:B66" si="13">_xlfn.CONCAT("""",A64,""",")</f>
        <v>"R4 Natural resource sectors are innovative ",</v>
      </c>
      <c r="C64" s="15"/>
      <c r="D64" s="27" t="s">
        <v>68</v>
      </c>
      <c r="E64" s="58" t="str">
        <f t="shared" si="0"/>
        <v>"61 - Large sized businesses",</v>
      </c>
      <c r="F64" s="15" t="s">
        <v>149</v>
      </c>
      <c r="G64" s="58" t="str">
        <f t="shared" si="0"/>
        <v>"Social Affairs - a safe and secure Canada",</v>
      </c>
      <c r="H64" s="15"/>
      <c r="I64" s="15"/>
      <c r="J64" s="15"/>
      <c r="K64" s="15"/>
    </row>
    <row r="65" spans="1:11" x14ac:dyDescent="0.3">
      <c r="A65" s="61" t="s">
        <v>164</v>
      </c>
      <c r="B65" s="16" t="str">
        <f t="shared" si="13"/>
        <v>"R5 Clean technologies and energy efficiencies enhance economic performance",</v>
      </c>
      <c r="C65" s="15"/>
      <c r="D65" s="27" t="s">
        <v>69</v>
      </c>
      <c r="E65" s="58" t="str">
        <f t="shared" si="0"/>
        <v>"62 - Families in developing countries / regions",</v>
      </c>
      <c r="F65" s="15" t="s">
        <v>150</v>
      </c>
      <c r="G65" s="58" t="str">
        <f t="shared" si="0"/>
        <v>"Social Affairs - a diverse society that promotes linguistic duality and social inclusion",</v>
      </c>
      <c r="H65" s="17"/>
      <c r="I65" s="15"/>
      <c r="J65" s="15"/>
      <c r="K65" s="15"/>
    </row>
    <row r="66" spans="1:11" x14ac:dyDescent="0.3">
      <c r="A66" s="61" t="s">
        <v>165</v>
      </c>
      <c r="B66" s="16" t="str">
        <f t="shared" si="13"/>
        <v>"R6 Canada’s natural resources are sustainable  ",</v>
      </c>
      <c r="C66" s="15"/>
      <c r="D66" s="27" t="s">
        <v>70</v>
      </c>
      <c r="E66" s="58" t="str">
        <f t="shared" si="0"/>
        <v>"63 - Private sector / businesses in developing countries / regions",</v>
      </c>
      <c r="F66" s="15" t="s">
        <v>151</v>
      </c>
      <c r="G66" s="58" t="str">
        <f t="shared" si="0"/>
        <v>"Social Affairs - a vibrant Canadian culture and heritage",</v>
      </c>
      <c r="H66" s="16"/>
      <c r="I66" s="15"/>
      <c r="J66" s="15"/>
      <c r="K66" s="15"/>
    </row>
    <row r="67" spans="1:11" x14ac:dyDescent="0.3">
      <c r="A67" s="43" t="s">
        <v>123</v>
      </c>
      <c r="B67" s="57"/>
      <c r="C67" s="15"/>
      <c r="D67" s="27" t="s">
        <v>71</v>
      </c>
      <c r="E67" s="58" t="str">
        <f t="shared" si="0"/>
        <v>"64 - Civil society in developing countries / regions",</v>
      </c>
      <c r="F67" s="37" t="s">
        <v>152</v>
      </c>
      <c r="G67" s="58" t="str">
        <f t="shared" si="0"/>
        <v>"International Affairs - a safe and secure world through international engagement",</v>
      </c>
      <c r="H67" s="12"/>
      <c r="I67" s="15"/>
      <c r="J67" s="15"/>
      <c r="K67" s="15"/>
    </row>
    <row r="68" spans="1:11" x14ac:dyDescent="0.3">
      <c r="A68" s="41" t="s">
        <v>3</v>
      </c>
      <c r="B68" s="16"/>
      <c r="C68" s="15"/>
      <c r="D68" s="27" t="s">
        <v>72</v>
      </c>
      <c r="E68" s="58" t="str">
        <f t="shared" si="0"/>
        <v>"65 - International organizations and/or alliances",</v>
      </c>
      <c r="F68" s="37" t="s">
        <v>153</v>
      </c>
      <c r="G68" s="58" t="str">
        <f t="shared" si="0"/>
        <v>"International Affairs - global poverty reduction through international sustainable development",</v>
      </c>
      <c r="H68" s="12"/>
      <c r="I68" s="15"/>
      <c r="J68" s="15"/>
      <c r="K68" s="15"/>
    </row>
    <row r="69" spans="1:11" x14ac:dyDescent="0.3">
      <c r="A69" s="61" t="s">
        <v>166</v>
      </c>
      <c r="B69" s="16" t="str">
        <f t="shared" ref="B69:B71" si="14">_xlfn.CONCAT("""",A69,""",")</f>
        <v>"R7 Access to new and priority markets for Canada’s natural resources is enhanced",</v>
      </c>
      <c r="C69" s="15"/>
      <c r="D69" s="27" t="s">
        <v>73</v>
      </c>
      <c r="E69" s="58" t="str">
        <f t="shared" ref="E69:E85" si="15">_xlfn.CONCAT("""",TRIM(D69),""",")</f>
        <v>"66 - Foreign governments",</v>
      </c>
      <c r="F69" s="37" t="s">
        <v>154</v>
      </c>
      <c r="G69" s="58" t="str">
        <f t="shared" ref="G69:G132" si="16">_xlfn.CONCAT("""",TRIM(F69),""",")</f>
        <v>"International Affairs - a strong and mutually beneficial North American partnership",</v>
      </c>
      <c r="H69" s="15"/>
      <c r="I69" s="15"/>
      <c r="J69" s="17"/>
      <c r="K69" s="17"/>
    </row>
    <row r="70" spans="1:11" x14ac:dyDescent="0.3">
      <c r="A70" s="61" t="s">
        <v>167</v>
      </c>
      <c r="B70" s="16" t="str">
        <f t="shared" si="14"/>
        <v>"R8 Canadians are engaged in the future of the new and inclusive resource economy",</v>
      </c>
      <c r="C70" s="17"/>
      <c r="D70" s="27" t="s">
        <v>74</v>
      </c>
      <c r="E70" s="58" t="str">
        <f t="shared" si="15"/>
        <v>"67 - Provincial &amp; territorial governments",</v>
      </c>
      <c r="F70" s="37" t="s">
        <v>155</v>
      </c>
      <c r="G70" s="58" t="str">
        <f t="shared" si="16"/>
        <v>"International Affairs - a prosperous Canada through global commerce",</v>
      </c>
      <c r="H70" s="15"/>
      <c r="I70" s="17"/>
      <c r="J70" s="16"/>
      <c r="K70" s="16"/>
    </row>
    <row r="71" spans="1:11" x14ac:dyDescent="0.3">
      <c r="A71" s="61" t="s">
        <v>168</v>
      </c>
      <c r="B71" s="16" t="str">
        <f t="shared" si="14"/>
        <v>"R9 Enhanced competitiveness of Canada’s natural resource sectors",</v>
      </c>
      <c r="C71" s="17"/>
      <c r="D71" s="27" t="s">
        <v>75</v>
      </c>
      <c r="E71" s="58" t="str">
        <f t="shared" si="15"/>
        <v>"68 - Urban communities",</v>
      </c>
      <c r="F71" s="15" t="s">
        <v>156</v>
      </c>
      <c r="G71" s="58" t="str">
        <f t="shared" si="16"/>
        <v>"Government Affairs - strong and independent democratic institutions",</v>
      </c>
      <c r="H71" s="15"/>
      <c r="I71" s="17"/>
      <c r="J71" s="16"/>
      <c r="K71" s="16"/>
    </row>
    <row r="72" spans="1:11" x14ac:dyDescent="0.3">
      <c r="A72" s="21"/>
      <c r="B72" s="16"/>
      <c r="C72" s="17"/>
      <c r="D72" s="27" t="s">
        <v>76</v>
      </c>
      <c r="E72" s="58" t="str">
        <f t="shared" si="15"/>
        <v>"69 - Rural communities",</v>
      </c>
      <c r="F72" s="15" t="s">
        <v>157</v>
      </c>
      <c r="G72" s="58" t="str">
        <f t="shared" si="16"/>
        <v>"Government Affairs - a transparent accountable and responsive federal government",</v>
      </c>
      <c r="H72" s="15"/>
      <c r="I72" s="17"/>
      <c r="J72" s="16"/>
      <c r="K72" s="16"/>
    </row>
    <row r="73" spans="1:11" x14ac:dyDescent="0.3">
      <c r="A73" s="21"/>
      <c r="B73" s="58"/>
      <c r="C73" s="17"/>
      <c r="D73" s="27" t="s">
        <v>77</v>
      </c>
      <c r="E73" s="58" t="str">
        <f t="shared" si="15"/>
        <v>"70 - Northern communities",</v>
      </c>
      <c r="F73" s="15" t="s">
        <v>158</v>
      </c>
      <c r="G73" s="58" t="str">
        <f t="shared" si="16"/>
        <v>"Government Affairs - well-managed and efficient government operations",</v>
      </c>
      <c r="H73" s="15"/>
      <c r="I73" s="16"/>
      <c r="J73" s="14"/>
      <c r="K73" s="14"/>
    </row>
    <row r="74" spans="1:11" x14ac:dyDescent="0.3">
      <c r="A74" s="42"/>
      <c r="B74" s="57"/>
      <c r="C74" s="16"/>
      <c r="D74" s="27" t="s">
        <v>78</v>
      </c>
      <c r="E74" s="58" t="str">
        <f t="shared" si="15"/>
        <v>"71 - Local and/or regional communities",</v>
      </c>
      <c r="F74" s="15"/>
      <c r="G74" s="58" t="str">
        <f t="shared" si="16"/>
        <v>"",</v>
      </c>
      <c r="H74" s="15"/>
      <c r="I74" s="14"/>
      <c r="J74" s="14"/>
      <c r="K74" s="14"/>
    </row>
    <row r="75" spans="1:11" x14ac:dyDescent="0.3">
      <c r="A75" s="41"/>
      <c r="B75" s="16"/>
      <c r="C75" s="12"/>
      <c r="D75" s="27" t="s">
        <v>79</v>
      </c>
      <c r="E75" s="58" t="str">
        <f t="shared" si="15"/>
        <v>"72 - Municipal governments",</v>
      </c>
      <c r="F75" s="15"/>
      <c r="G75" s="58" t="str">
        <f t="shared" si="16"/>
        <v>"",</v>
      </c>
      <c r="H75" s="15"/>
      <c r="I75" s="14"/>
      <c r="J75" s="15"/>
      <c r="K75" s="15"/>
    </row>
    <row r="76" spans="1:11" x14ac:dyDescent="0.3">
      <c r="A76" s="21"/>
      <c r="B76" s="16"/>
      <c r="C76" s="12"/>
      <c r="D76" s="27" t="s">
        <v>80</v>
      </c>
      <c r="E76" s="58" t="str">
        <f t="shared" si="15"/>
        <v>"73 - Indigenous Band, Tribal Council, Nation and/or Alliance",</v>
      </c>
      <c r="F76" s="15"/>
      <c r="G76" s="58" t="str">
        <f t="shared" si="16"/>
        <v>"",</v>
      </c>
      <c r="H76" s="15"/>
      <c r="I76" s="15"/>
      <c r="J76" s="15"/>
      <c r="K76" s="15"/>
    </row>
    <row r="77" spans="1:11" x14ac:dyDescent="0.3">
      <c r="A77" s="21"/>
      <c r="B77" s="58"/>
      <c r="C77" s="15"/>
      <c r="D77" s="27" t="s">
        <v>81</v>
      </c>
      <c r="E77" s="58" t="str">
        <f t="shared" si="15"/>
        <v>"74 - Federal departments and/or agencies",</v>
      </c>
      <c r="F77" s="15"/>
      <c r="G77" s="58" t="str">
        <f t="shared" si="16"/>
        <v>"",</v>
      </c>
      <c r="H77" s="17"/>
      <c r="I77" s="15"/>
      <c r="J77" s="15"/>
      <c r="K77" s="15"/>
    </row>
    <row r="78" spans="1:11" x14ac:dyDescent="0.3">
      <c r="A78" s="42"/>
      <c r="B78" s="57"/>
      <c r="C78" s="15"/>
      <c r="D78" s="27" t="s">
        <v>82</v>
      </c>
      <c r="E78" s="58" t="str">
        <f t="shared" si="15"/>
        <v>"75 - Program(s) within the same department or agency",</v>
      </c>
      <c r="F78" s="15"/>
      <c r="G78" s="58" t="str">
        <f t="shared" si="16"/>
        <v>"",</v>
      </c>
      <c r="H78" s="15"/>
      <c r="I78" s="15"/>
      <c r="J78" s="15"/>
      <c r="K78" s="15"/>
    </row>
    <row r="79" spans="1:11" x14ac:dyDescent="0.3">
      <c r="A79" s="41"/>
      <c r="B79" s="13"/>
      <c r="C79" s="15"/>
      <c r="D79" s="27" t="s">
        <v>83</v>
      </c>
      <c r="E79" s="58" t="str">
        <f t="shared" si="15"/>
        <v>"76 - Public Servants",</v>
      </c>
      <c r="F79" s="15"/>
      <c r="G79" s="58" t="str">
        <f t="shared" si="16"/>
        <v>"",</v>
      </c>
      <c r="H79" s="15"/>
      <c r="I79" s="15"/>
      <c r="J79" s="15"/>
      <c r="K79" s="15"/>
    </row>
    <row r="80" spans="1:11" x14ac:dyDescent="0.3">
      <c r="A80" s="20"/>
      <c r="B80" s="16"/>
      <c r="C80" s="15"/>
      <c r="D80" s="27" t="s">
        <v>84</v>
      </c>
      <c r="E80" s="58" t="str">
        <f t="shared" si="15"/>
        <v>"77 - Canadian Forces",</v>
      </c>
      <c r="F80" s="15"/>
      <c r="G80" s="58" t="str">
        <f t="shared" si="16"/>
        <v>"",</v>
      </c>
      <c r="H80" s="15"/>
      <c r="I80" s="15"/>
      <c r="J80" s="14"/>
      <c r="K80" s="14"/>
    </row>
    <row r="81" spans="1:11" x14ac:dyDescent="0.3">
      <c r="A81" s="24"/>
      <c r="B81" s="15"/>
      <c r="C81" s="15"/>
      <c r="D81" s="27" t="s">
        <v>85</v>
      </c>
      <c r="E81" s="58" t="str">
        <f t="shared" si="15"/>
        <v>"78 - Contaminated sites",</v>
      </c>
      <c r="F81" s="15"/>
      <c r="G81" s="58" t="str">
        <f t="shared" si="16"/>
        <v>"",</v>
      </c>
      <c r="H81" s="15"/>
      <c r="I81" s="15"/>
      <c r="J81" s="15"/>
      <c r="K81" s="15"/>
    </row>
    <row r="82" spans="1:11" x14ac:dyDescent="0.3">
      <c r="A82" s="15"/>
      <c r="B82" s="15"/>
      <c r="C82" s="15"/>
      <c r="D82" s="27" t="s">
        <v>86</v>
      </c>
      <c r="E82" s="58" t="str">
        <f t="shared" si="15"/>
        <v>"79 - Greenhouse gas emitters",</v>
      </c>
      <c r="F82" s="17"/>
      <c r="G82" s="58" t="str">
        <f t="shared" si="16"/>
        <v>"",</v>
      </c>
      <c r="H82" s="15"/>
      <c r="I82" s="14"/>
      <c r="J82" s="15"/>
      <c r="K82" s="15"/>
    </row>
    <row r="83" spans="1:11" x14ac:dyDescent="0.3">
      <c r="A83" s="15"/>
      <c r="B83" s="15"/>
      <c r="C83" s="12"/>
      <c r="D83" s="27" t="s">
        <v>87</v>
      </c>
      <c r="E83" s="58" t="str">
        <f t="shared" si="15"/>
        <v>"80 - Water treatment / distribution facilities",</v>
      </c>
      <c r="F83" s="16"/>
      <c r="G83" s="58" t="str">
        <f t="shared" si="16"/>
        <v>"",</v>
      </c>
      <c r="H83" s="15"/>
      <c r="I83" s="15"/>
      <c r="J83" s="15"/>
      <c r="K83" s="15"/>
    </row>
    <row r="84" spans="1:11" x14ac:dyDescent="0.3">
      <c r="A84" s="74" t="s">
        <v>193</v>
      </c>
      <c r="B84" s="74" t="s">
        <v>0</v>
      </c>
      <c r="C84" s="15"/>
      <c r="D84" s="27" t="s">
        <v>88</v>
      </c>
      <c r="E84" s="58" t="str">
        <f t="shared" si="15"/>
        <v>"81 - Ecological systems and/or natural habitats",</v>
      </c>
      <c r="F84" s="37"/>
      <c r="G84" s="58" t="str">
        <f t="shared" si="16"/>
        <v>"",</v>
      </c>
      <c r="H84" s="17"/>
      <c r="I84" s="15"/>
      <c r="J84" s="15"/>
      <c r="K84" s="15"/>
    </row>
    <row r="85" spans="1:11" x14ac:dyDescent="0.3">
      <c r="A85" s="75" t="s">
        <v>118</v>
      </c>
      <c r="B85" s="75" t="s">
        <v>129</v>
      </c>
      <c r="C85" s="15"/>
      <c r="D85" s="34" t="s">
        <v>89</v>
      </c>
      <c r="E85" s="58" t="str">
        <f t="shared" si="15"/>
        <v>"82 - Species at risk and/or invasive species",</v>
      </c>
      <c r="F85" s="37"/>
      <c r="G85" s="58" t="str">
        <f t="shared" si="16"/>
        <v>"",</v>
      </c>
      <c r="H85" s="16"/>
      <c r="I85" s="15"/>
      <c r="J85" s="15"/>
      <c r="K85" s="15"/>
    </row>
    <row r="86" spans="1:11" x14ac:dyDescent="0.3">
      <c r="A86" s="73" t="s">
        <v>119</v>
      </c>
      <c r="B86" s="73" t="s">
        <v>130</v>
      </c>
      <c r="C86" s="15"/>
      <c r="D86" s="36"/>
      <c r="E86" s="15"/>
      <c r="F86" s="15"/>
      <c r="G86" s="58" t="str">
        <f t="shared" si="16"/>
        <v>"",</v>
      </c>
      <c r="H86" s="12"/>
      <c r="I86" s="15"/>
      <c r="J86" s="15"/>
      <c r="K86" s="15"/>
    </row>
    <row r="87" spans="1:11" x14ac:dyDescent="0.3">
      <c r="A87" s="72" t="s">
        <v>120</v>
      </c>
      <c r="B87" s="72" t="s">
        <v>131</v>
      </c>
      <c r="C87" s="15"/>
      <c r="D87" s="36"/>
      <c r="E87" s="15"/>
      <c r="F87" s="15"/>
      <c r="G87" s="58" t="str">
        <f t="shared" si="16"/>
        <v>"",</v>
      </c>
      <c r="H87" s="12"/>
      <c r="I87" s="15"/>
      <c r="J87" s="17"/>
      <c r="K87" s="17"/>
    </row>
    <row r="88" spans="1:11" x14ac:dyDescent="0.3">
      <c r="A88" s="71" t="s">
        <v>132</v>
      </c>
      <c r="B88" s="71" t="s">
        <v>192</v>
      </c>
      <c r="C88" s="15"/>
      <c r="D88" s="36"/>
      <c r="E88" s="15"/>
      <c r="F88" s="15"/>
      <c r="G88" s="58" t="str">
        <f t="shared" si="16"/>
        <v>"",</v>
      </c>
      <c r="H88" s="15"/>
      <c r="I88" s="15"/>
      <c r="J88" s="16"/>
      <c r="K88" s="16"/>
    </row>
    <row r="89" spans="1:11" x14ac:dyDescent="0.3">
      <c r="B89" s="12"/>
      <c r="C89" s="15"/>
      <c r="D89" s="36"/>
      <c r="E89" s="15"/>
      <c r="F89" s="15"/>
      <c r="G89" s="58" t="str">
        <f t="shared" si="16"/>
        <v>"",</v>
      </c>
      <c r="H89" s="15"/>
      <c r="I89" s="15"/>
      <c r="J89" s="16"/>
      <c r="K89" s="16"/>
    </row>
    <row r="90" spans="1:11" x14ac:dyDescent="0.3">
      <c r="B90" s="15"/>
      <c r="C90" s="15"/>
      <c r="D90" s="36"/>
      <c r="E90" s="17"/>
      <c r="F90" s="15"/>
      <c r="G90" s="58" t="str">
        <f t="shared" si="16"/>
        <v>"",</v>
      </c>
      <c r="H90" s="15"/>
      <c r="I90" s="17"/>
      <c r="J90" s="14"/>
      <c r="K90" s="14"/>
    </row>
    <row r="91" spans="1:11" x14ac:dyDescent="0.3">
      <c r="A91" s="21" t="s">
        <v>160</v>
      </c>
      <c r="C91" s="16"/>
      <c r="D91" s="36"/>
      <c r="E91" s="12"/>
      <c r="F91" s="15"/>
      <c r="G91" s="58" t="str">
        <f t="shared" si="16"/>
        <v>"",</v>
      </c>
      <c r="H91" s="15"/>
      <c r="I91" s="14"/>
      <c r="J91" s="15"/>
      <c r="K91" s="15"/>
    </row>
    <row r="92" spans="1:11" x14ac:dyDescent="0.3">
      <c r="A92" s="21" t="s">
        <v>161</v>
      </c>
      <c r="C92" s="12"/>
      <c r="D92" s="36"/>
      <c r="E92" s="12"/>
      <c r="F92" s="15"/>
      <c r="G92" s="58" t="str">
        <f t="shared" si="16"/>
        <v>"",</v>
      </c>
      <c r="H92" s="15"/>
      <c r="I92" s="14"/>
      <c r="J92" s="15"/>
      <c r="K92" s="15"/>
    </row>
    <row r="93" spans="1:11" x14ac:dyDescent="0.3">
      <c r="A93" s="21" t="s">
        <v>162</v>
      </c>
      <c r="B93" s="87"/>
      <c r="C93" s="12"/>
      <c r="D93" s="36"/>
      <c r="E93" s="15"/>
      <c r="F93" s="15"/>
      <c r="G93" s="58" t="str">
        <f t="shared" si="16"/>
        <v>"",</v>
      </c>
      <c r="H93" s="15"/>
      <c r="I93" s="15"/>
      <c r="J93" s="15"/>
      <c r="K93" s="15"/>
    </row>
    <row r="94" spans="1:11" x14ac:dyDescent="0.3">
      <c r="A94" s="86" t="s">
        <v>163</v>
      </c>
      <c r="B94" s="87"/>
      <c r="C94" s="15"/>
      <c r="D94" s="36"/>
      <c r="E94" s="15"/>
      <c r="F94" s="15"/>
      <c r="G94" s="58" t="str">
        <f t="shared" si="16"/>
        <v>"",</v>
      </c>
      <c r="H94" s="15"/>
      <c r="I94" s="15"/>
      <c r="J94" s="14"/>
      <c r="K94" s="14"/>
    </row>
    <row r="95" spans="1:11" x14ac:dyDescent="0.3">
      <c r="A95" s="86" t="s">
        <v>164</v>
      </c>
      <c r="B95" s="87"/>
      <c r="C95" s="15"/>
      <c r="D95" s="36"/>
      <c r="E95" s="15"/>
      <c r="F95" s="15"/>
      <c r="G95" s="58" t="str">
        <f t="shared" si="16"/>
        <v>"",</v>
      </c>
      <c r="H95" s="15"/>
      <c r="I95" s="15"/>
      <c r="J95" s="15"/>
      <c r="K95" s="15"/>
    </row>
    <row r="96" spans="1:11" x14ac:dyDescent="0.3">
      <c r="A96" s="86" t="s">
        <v>165</v>
      </c>
      <c r="B96" s="87"/>
      <c r="C96" s="15"/>
      <c r="D96" s="36"/>
      <c r="E96" s="15"/>
      <c r="F96" s="15"/>
      <c r="G96" s="58" t="str">
        <f t="shared" si="16"/>
        <v>"",</v>
      </c>
      <c r="H96" s="15"/>
      <c r="I96" s="15"/>
      <c r="J96" s="15"/>
      <c r="K96" s="15"/>
    </row>
    <row r="97" spans="1:11" x14ac:dyDescent="0.3">
      <c r="A97" s="86" t="s">
        <v>166</v>
      </c>
      <c r="B97" s="87"/>
      <c r="C97" s="15"/>
      <c r="D97" s="36"/>
      <c r="E97" s="15"/>
      <c r="F97" s="17"/>
      <c r="G97" s="58" t="str">
        <f t="shared" si="16"/>
        <v>"",</v>
      </c>
      <c r="H97" s="17"/>
      <c r="I97" s="15"/>
      <c r="J97" s="15"/>
      <c r="K97" s="15"/>
    </row>
    <row r="98" spans="1:11" x14ac:dyDescent="0.3">
      <c r="A98" s="86" t="s">
        <v>167</v>
      </c>
      <c r="B98" s="87"/>
      <c r="C98" s="15"/>
      <c r="D98" s="36"/>
      <c r="E98" s="15"/>
      <c r="F98" s="16"/>
      <c r="G98" s="58" t="str">
        <f t="shared" si="16"/>
        <v>"",</v>
      </c>
      <c r="H98" s="16"/>
      <c r="I98" s="15"/>
      <c r="J98" s="15"/>
      <c r="K98" s="15"/>
    </row>
    <row r="99" spans="1:11" x14ac:dyDescent="0.3">
      <c r="A99" s="86" t="s">
        <v>168</v>
      </c>
      <c r="B99" s="87"/>
      <c r="C99" s="15"/>
      <c r="D99" s="36"/>
      <c r="E99" s="15"/>
      <c r="F99" s="37"/>
      <c r="G99" s="58" t="str">
        <f t="shared" si="16"/>
        <v>"",</v>
      </c>
      <c r="H99" s="16"/>
      <c r="I99" s="15"/>
      <c r="J99" s="15"/>
      <c r="K99" s="15"/>
    </row>
    <row r="100" spans="1:11" x14ac:dyDescent="0.3">
      <c r="C100" s="15"/>
      <c r="D100" s="36"/>
      <c r="E100" s="15"/>
      <c r="F100" s="37"/>
      <c r="G100" s="58" t="str">
        <f t="shared" si="16"/>
        <v>"",</v>
      </c>
      <c r="H100" s="16"/>
      <c r="I100" s="15"/>
      <c r="J100" s="15"/>
      <c r="K100" s="15"/>
    </row>
    <row r="101" spans="1:11" x14ac:dyDescent="0.3">
      <c r="A101" s="86" t="s">
        <v>208</v>
      </c>
      <c r="C101" s="15"/>
      <c r="D101" s="36"/>
      <c r="E101" s="15"/>
      <c r="F101" s="15"/>
      <c r="G101" s="58" t="str">
        <f t="shared" si="16"/>
        <v>"",</v>
      </c>
      <c r="H101" s="16"/>
      <c r="I101" s="15"/>
      <c r="J101" s="15"/>
      <c r="K101" s="15"/>
    </row>
    <row r="102" spans="1:11" x14ac:dyDescent="0.3">
      <c r="A102" s="86" t="s">
        <v>209</v>
      </c>
      <c r="C102" s="15"/>
      <c r="D102" s="36"/>
      <c r="E102" s="15"/>
      <c r="F102" s="15"/>
      <c r="G102" s="58" t="str">
        <f t="shared" si="16"/>
        <v>"",</v>
      </c>
      <c r="H102" s="12"/>
      <c r="I102" s="15"/>
      <c r="J102" s="17"/>
      <c r="K102" s="17"/>
    </row>
    <row r="103" spans="1:11" x14ac:dyDescent="0.3">
      <c r="A103" s="86" t="s">
        <v>210</v>
      </c>
      <c r="C103" s="15"/>
      <c r="D103" s="36"/>
      <c r="E103" s="15"/>
      <c r="F103" s="15"/>
      <c r="G103" s="58" t="str">
        <f t="shared" si="16"/>
        <v>"",</v>
      </c>
      <c r="H103" s="12"/>
      <c r="I103" s="15"/>
      <c r="J103" s="16"/>
      <c r="K103" s="16"/>
    </row>
    <row r="104" spans="1:11" x14ac:dyDescent="0.3">
      <c r="A104" s="86" t="s">
        <v>211</v>
      </c>
      <c r="C104" s="15"/>
      <c r="D104" s="36"/>
      <c r="E104" s="15"/>
      <c r="F104" s="15"/>
      <c r="G104" s="58" t="str">
        <f t="shared" si="16"/>
        <v>"",</v>
      </c>
      <c r="H104" s="15"/>
      <c r="I104" s="15"/>
      <c r="J104" s="14"/>
      <c r="K104" s="14"/>
    </row>
    <row r="105" spans="1:11" x14ac:dyDescent="0.3">
      <c r="A105" s="86" t="s">
        <v>212</v>
      </c>
      <c r="C105" s="15"/>
      <c r="D105" s="36"/>
      <c r="E105" s="17"/>
      <c r="F105" s="15"/>
      <c r="G105" s="58" t="str">
        <f t="shared" si="16"/>
        <v>"",</v>
      </c>
      <c r="H105" s="15"/>
      <c r="I105" s="17"/>
      <c r="J105" s="14"/>
      <c r="K105" s="14"/>
    </row>
    <row r="106" spans="1:11" x14ac:dyDescent="0.3">
      <c r="A106" s="86" t="s">
        <v>213</v>
      </c>
      <c r="C106" s="17"/>
      <c r="D106" s="36"/>
      <c r="E106" s="16"/>
      <c r="F106" s="15"/>
      <c r="G106" s="58" t="str">
        <f t="shared" si="16"/>
        <v>"",</v>
      </c>
      <c r="H106" s="15"/>
      <c r="I106" s="16"/>
      <c r="J106" s="15"/>
      <c r="K106" s="15"/>
    </row>
    <row r="107" spans="1:11" x14ac:dyDescent="0.3">
      <c r="A107" s="86" t="s">
        <v>214</v>
      </c>
      <c r="C107" s="16"/>
      <c r="D107" s="36"/>
      <c r="E107" s="12"/>
      <c r="F107" s="37"/>
      <c r="G107" s="58" t="str">
        <f t="shared" si="16"/>
        <v>"",</v>
      </c>
      <c r="H107" s="15"/>
      <c r="I107" s="14"/>
      <c r="J107" s="15"/>
      <c r="K107" s="15"/>
    </row>
    <row r="108" spans="1:11" x14ac:dyDescent="0.3">
      <c r="A108" s="86" t="s">
        <v>215</v>
      </c>
      <c r="C108" s="12"/>
      <c r="D108" s="36"/>
      <c r="E108" s="12"/>
      <c r="F108" s="15"/>
      <c r="G108" s="58" t="str">
        <f t="shared" si="16"/>
        <v>"",</v>
      </c>
      <c r="H108" s="15"/>
      <c r="I108" s="14"/>
      <c r="J108" s="15"/>
      <c r="K108" s="15"/>
    </row>
    <row r="109" spans="1:11" x14ac:dyDescent="0.3">
      <c r="A109" s="86" t="s">
        <v>216</v>
      </c>
      <c r="C109" s="12"/>
      <c r="D109" s="36"/>
      <c r="E109" s="15"/>
      <c r="F109" s="15"/>
      <c r="G109" s="58" t="str">
        <f t="shared" si="16"/>
        <v>"",</v>
      </c>
      <c r="H109" s="15"/>
      <c r="I109" s="15"/>
      <c r="J109" s="15"/>
      <c r="K109" s="15"/>
    </row>
    <row r="110" spans="1:11" x14ac:dyDescent="0.3">
      <c r="C110" s="15"/>
      <c r="D110" s="36"/>
      <c r="E110" s="15"/>
      <c r="F110" s="15"/>
      <c r="G110" s="58" t="str">
        <f t="shared" si="16"/>
        <v>"",</v>
      </c>
      <c r="H110" s="12"/>
      <c r="I110" s="15"/>
      <c r="J110" s="15"/>
      <c r="K110" s="15"/>
    </row>
    <row r="111" spans="1:11" x14ac:dyDescent="0.3">
      <c r="A111" s="86" t="s">
        <v>217</v>
      </c>
      <c r="B111" s="10" t="s">
        <v>224</v>
      </c>
      <c r="C111" s="15"/>
      <c r="D111" s="36"/>
      <c r="E111" s="15"/>
      <c r="F111" s="15"/>
      <c r="G111" s="58" t="str">
        <f t="shared" si="16"/>
        <v>"",</v>
      </c>
      <c r="H111" s="15"/>
      <c r="I111" s="15"/>
      <c r="J111" s="14"/>
      <c r="K111" s="14"/>
    </row>
    <row r="112" spans="1:11" x14ac:dyDescent="0.3">
      <c r="A112" s="86" t="s">
        <v>218</v>
      </c>
      <c r="B112" s="10" t="s">
        <v>225</v>
      </c>
      <c r="C112" s="15"/>
      <c r="D112" s="36"/>
      <c r="E112" s="15"/>
      <c r="F112" s="15"/>
      <c r="G112" s="58" t="str">
        <f t="shared" si="16"/>
        <v>"",</v>
      </c>
      <c r="H112" s="15"/>
      <c r="I112" s="15"/>
      <c r="J112" s="15"/>
      <c r="K112" s="15"/>
    </row>
    <row r="113" spans="1:11" x14ac:dyDescent="0.3">
      <c r="A113" s="86" t="s">
        <v>219</v>
      </c>
      <c r="B113" s="10" t="s">
        <v>226</v>
      </c>
      <c r="C113" s="15"/>
      <c r="D113" s="36"/>
      <c r="E113" s="15"/>
      <c r="F113" s="17"/>
      <c r="G113" s="58" t="str">
        <f t="shared" si="16"/>
        <v>"",</v>
      </c>
      <c r="H113" s="15"/>
      <c r="I113" s="15"/>
      <c r="J113" s="15"/>
      <c r="K113" s="15"/>
    </row>
    <row r="114" spans="1:11" x14ac:dyDescent="0.3">
      <c r="A114" s="86" t="s">
        <v>220</v>
      </c>
      <c r="B114" s="10" t="s">
        <v>227</v>
      </c>
      <c r="C114" s="15"/>
      <c r="D114" s="36"/>
      <c r="E114" s="15"/>
      <c r="F114" s="37"/>
      <c r="G114" s="58" t="str">
        <f t="shared" si="16"/>
        <v>"",</v>
      </c>
      <c r="H114" s="15"/>
      <c r="I114" s="15"/>
      <c r="J114" s="15"/>
      <c r="K114" s="15"/>
    </row>
    <row r="115" spans="1:11" x14ac:dyDescent="0.3">
      <c r="A115" s="86" t="s">
        <v>221</v>
      </c>
      <c r="B115" s="10" t="s">
        <v>228</v>
      </c>
      <c r="C115" s="15"/>
      <c r="D115" s="36"/>
      <c r="E115" s="12"/>
      <c r="F115" s="37"/>
      <c r="G115" s="58" t="str">
        <f t="shared" si="16"/>
        <v>"",</v>
      </c>
      <c r="H115" s="15"/>
      <c r="I115" s="14"/>
      <c r="J115" s="15"/>
      <c r="K115" s="15"/>
    </row>
    <row r="116" spans="1:11" x14ac:dyDescent="0.3">
      <c r="A116" s="86" t="s">
        <v>222</v>
      </c>
      <c r="B116" s="10" t="s">
        <v>229</v>
      </c>
      <c r="C116" s="12"/>
      <c r="D116" s="36"/>
      <c r="E116" s="15"/>
      <c r="F116" s="15"/>
      <c r="G116" s="58" t="str">
        <f t="shared" si="16"/>
        <v>"",</v>
      </c>
      <c r="H116" s="15"/>
      <c r="I116" s="15"/>
      <c r="J116" s="15"/>
      <c r="K116" s="15"/>
    </row>
    <row r="117" spans="1:11" x14ac:dyDescent="0.3">
      <c r="A117" s="86" t="s">
        <v>223</v>
      </c>
      <c r="B117" s="10" t="s">
        <v>230</v>
      </c>
      <c r="C117" s="15"/>
      <c r="D117" s="15"/>
      <c r="E117" s="15"/>
      <c r="F117" s="15"/>
      <c r="G117" s="58" t="str">
        <f t="shared" si="16"/>
        <v>"",</v>
      </c>
      <c r="H117" s="15"/>
      <c r="I117" s="15"/>
      <c r="J117" s="15"/>
    </row>
    <row r="118" spans="1:11" x14ac:dyDescent="0.3">
      <c r="A118" s="86" t="s">
        <v>96</v>
      </c>
      <c r="B118" s="10" t="s">
        <v>231</v>
      </c>
      <c r="C118" s="15"/>
      <c r="D118" s="15"/>
      <c r="E118" s="15"/>
      <c r="F118" s="15"/>
      <c r="G118" s="58" t="str">
        <f t="shared" si="16"/>
        <v>"",</v>
      </c>
      <c r="H118" s="15"/>
      <c r="I118" s="17"/>
      <c r="J118" s="17"/>
    </row>
    <row r="119" spans="1:11" x14ac:dyDescent="0.3">
      <c r="C119" s="15"/>
      <c r="D119" s="15"/>
      <c r="E119" s="15"/>
      <c r="F119" s="15"/>
      <c r="G119" s="58" t="str">
        <f t="shared" si="16"/>
        <v>"",</v>
      </c>
      <c r="H119" s="15"/>
      <c r="I119" s="16"/>
      <c r="J119" s="16"/>
    </row>
    <row r="120" spans="1:11" x14ac:dyDescent="0.3">
      <c r="C120" s="15"/>
      <c r="D120" s="15"/>
      <c r="E120" s="15"/>
      <c r="F120" s="15"/>
      <c r="G120" s="58" t="str">
        <f t="shared" si="16"/>
        <v>"",</v>
      </c>
      <c r="H120" s="15"/>
      <c r="I120" s="14"/>
      <c r="J120" s="14"/>
    </row>
    <row r="121" spans="1:11" x14ac:dyDescent="0.3">
      <c r="A121" s="86" t="s">
        <v>298</v>
      </c>
      <c r="C121" s="17"/>
      <c r="D121" s="15"/>
      <c r="E121" s="17"/>
      <c r="F121" s="15"/>
      <c r="G121" s="58" t="str">
        <f t="shared" si="16"/>
        <v>"",</v>
      </c>
      <c r="H121" s="15"/>
      <c r="I121" s="15"/>
    </row>
    <row r="122" spans="1:11" s="80" customFormat="1" x14ac:dyDescent="0.3">
      <c r="A122" s="113" t="s">
        <v>3</v>
      </c>
      <c r="C122" s="17"/>
      <c r="D122" s="15"/>
      <c r="E122" s="17"/>
      <c r="F122" s="15"/>
      <c r="G122" s="58" t="str">
        <f t="shared" si="16"/>
        <v>"",</v>
      </c>
      <c r="H122" s="15"/>
      <c r="I122" s="15"/>
    </row>
    <row r="123" spans="1:11" x14ac:dyDescent="0.3">
      <c r="A123" s="86" t="s">
        <v>299</v>
      </c>
      <c r="B123" s="58" t="str">
        <f>_xlfn.CONCAT("""",TRIM(A123),""",")</f>
        <v>"Contributions in support of the Green Construction through Wood Program (voted)",</v>
      </c>
      <c r="C123" s="12"/>
      <c r="D123" s="37"/>
      <c r="E123" s="12"/>
      <c r="F123" s="15"/>
      <c r="G123" s="58" t="str">
        <f t="shared" si="16"/>
        <v>"",</v>
      </c>
      <c r="H123" s="15"/>
      <c r="I123" s="15"/>
    </row>
    <row r="124" spans="1:11" x14ac:dyDescent="0.3">
      <c r="A124" s="86" t="s">
        <v>300</v>
      </c>
      <c r="B124" s="58" t="str">
        <f t="shared" ref="B124:B155" si="17">_xlfn.CONCAT("""",TRIM(A124),""",")</f>
        <v>"Grants and Contributions in support of Clean Technology Challenges (voted)",</v>
      </c>
      <c r="C124" s="12"/>
      <c r="D124" s="15"/>
      <c r="E124" s="12"/>
      <c r="F124" s="15"/>
      <c r="G124" s="58" t="str">
        <f t="shared" si="16"/>
        <v>"",</v>
      </c>
      <c r="H124" s="15"/>
      <c r="I124" s="15"/>
    </row>
    <row r="125" spans="1:11" x14ac:dyDescent="0.3">
      <c r="A125" s="86" t="s">
        <v>301</v>
      </c>
      <c r="B125" s="58" t="str">
        <f t="shared" si="17"/>
        <v>"Contribution in support of Energy Efficiency Program (voted)",</v>
      </c>
      <c r="C125" s="15"/>
      <c r="D125" s="15"/>
      <c r="E125" s="15"/>
      <c r="F125" s="15"/>
      <c r="G125" s="58" t="str">
        <f t="shared" si="16"/>
        <v>"",</v>
      </c>
      <c r="H125" s="15"/>
      <c r="I125" s="15"/>
    </row>
    <row r="126" spans="1:11" x14ac:dyDescent="0.3">
      <c r="A126" s="86" t="s">
        <v>302</v>
      </c>
      <c r="B126" s="58" t="str">
        <f t="shared" si="17"/>
        <v>"Contributions in support of ecoENERGY for Renewable Power (voted)",</v>
      </c>
      <c r="C126" s="15"/>
      <c r="D126" s="15"/>
      <c r="E126" s="15"/>
      <c r="F126" s="15"/>
      <c r="G126" s="58" t="str">
        <f t="shared" si="16"/>
        <v>"",</v>
      </c>
      <c r="H126" s="15"/>
      <c r="I126" s="15"/>
    </row>
    <row r="127" spans="1:11" x14ac:dyDescent="0.3">
      <c r="A127" s="86" t="s">
        <v>303</v>
      </c>
      <c r="B127" s="58" t="str">
        <f t="shared" si="17"/>
        <v>"Contributions in support of the clean-up of the Gunnar uranium mining facilities (voted)",</v>
      </c>
      <c r="C127" s="15"/>
      <c r="D127" s="15"/>
      <c r="E127" s="15"/>
      <c r="F127" s="12"/>
      <c r="G127" s="58" t="str">
        <f t="shared" si="16"/>
        <v>"",</v>
      </c>
      <c r="H127" s="14"/>
      <c r="I127" s="14"/>
    </row>
    <row r="128" spans="1:11" x14ac:dyDescent="0.3">
      <c r="A128" s="86" t="s">
        <v>304</v>
      </c>
      <c r="B128" s="58" t="str">
        <f t="shared" si="17"/>
        <v>"Contributions in support of Clean Growth in Natural Resource Sectors Innovation Program (voted)",</v>
      </c>
      <c r="C128" s="15"/>
      <c r="D128" s="15"/>
      <c r="E128" s="15"/>
      <c r="F128" s="15"/>
      <c r="G128" s="58" t="str">
        <f t="shared" si="16"/>
        <v>"",</v>
      </c>
      <c r="H128" s="15"/>
      <c r="I128" s="15"/>
    </row>
    <row r="129" spans="1:11" x14ac:dyDescent="0.3">
      <c r="A129" s="86" t="s">
        <v>305</v>
      </c>
      <c r="B129" s="58" t="str">
        <f t="shared" si="17"/>
        <v>"Contributions in support of the Energy Innovation Program (voted)",</v>
      </c>
      <c r="C129" s="15"/>
      <c r="D129" s="17"/>
      <c r="E129" s="15"/>
      <c r="F129" s="15"/>
      <c r="G129" s="58" t="str">
        <f t="shared" si="16"/>
        <v>"",</v>
      </c>
      <c r="H129" s="15"/>
      <c r="I129" s="15"/>
    </row>
    <row r="130" spans="1:11" x14ac:dyDescent="0.3">
      <c r="A130" s="86" t="s">
        <v>306</v>
      </c>
      <c r="B130" s="58" t="str">
        <f t="shared" si="17"/>
        <v>"Contributions in support of Indigenous Advisory and Monitoring Committees for Energy Infrastructure Projects (voted)",</v>
      </c>
      <c r="C130" s="15"/>
      <c r="D130" s="37"/>
      <c r="E130" s="15"/>
      <c r="F130" s="15"/>
      <c r="G130" s="58" t="str">
        <f t="shared" si="16"/>
        <v>"",</v>
      </c>
      <c r="H130" s="15"/>
      <c r="I130" s="15"/>
    </row>
    <row r="131" spans="1:11" x14ac:dyDescent="0.3">
      <c r="A131" s="86" t="s">
        <v>307</v>
      </c>
      <c r="B131" s="58" t="str">
        <f t="shared" si="17"/>
        <v>"Contributions in support of Electric Vehicle Infrastructure Demonstration Program (voted)",</v>
      </c>
      <c r="C131" s="12"/>
      <c r="D131" s="37"/>
      <c r="E131" s="12"/>
      <c r="F131" s="15"/>
      <c r="G131" s="58" t="str">
        <f t="shared" si="16"/>
        <v>"",</v>
      </c>
      <c r="H131" s="15"/>
      <c r="I131" s="15"/>
    </row>
    <row r="132" spans="1:11" x14ac:dyDescent="0.3">
      <c r="A132" s="86" t="s">
        <v>308</v>
      </c>
      <c r="B132" s="58" t="str">
        <f t="shared" si="17"/>
        <v>"Contributions in support of the Smart Grid Program (voted)",</v>
      </c>
      <c r="C132" s="15"/>
      <c r="D132" s="15"/>
      <c r="E132" s="15"/>
      <c r="F132" s="15"/>
      <c r="G132" s="58" t="str">
        <f t="shared" si="16"/>
        <v>"",</v>
      </c>
      <c r="H132" s="15"/>
      <c r="I132" s="15"/>
    </row>
    <row r="133" spans="1:11" x14ac:dyDescent="0.3">
      <c r="A133" s="86" t="s">
        <v>309</v>
      </c>
      <c r="B133" s="58" t="str">
        <f t="shared" si="17"/>
        <v>"Contributions in support of Clean Energy for Rural and Remote Communities (voted)",</v>
      </c>
      <c r="C133" s="15"/>
      <c r="D133" s="15"/>
      <c r="E133" s="15"/>
      <c r="F133" s="15"/>
      <c r="G133" s="58" t="str">
        <f t="shared" ref="G133:G139" si="18">_xlfn.CONCAT("""",TRIM(F133),""",")</f>
        <v>"",</v>
      </c>
      <c r="H133" s="15"/>
      <c r="I133" s="15"/>
    </row>
    <row r="134" spans="1:11" x14ac:dyDescent="0.3">
      <c r="A134" s="86" t="s">
        <v>310</v>
      </c>
      <c r="B134" s="58" t="str">
        <f t="shared" si="17"/>
        <v>"Contributions in support of the Emerging Renewable Power Program (voted)",</v>
      </c>
      <c r="C134" s="15"/>
      <c r="D134" s="15"/>
      <c r="E134" s="15"/>
      <c r="F134" s="17"/>
      <c r="G134" s="58" t="str">
        <f t="shared" si="18"/>
        <v>"",</v>
      </c>
      <c r="H134" s="17"/>
      <c r="I134" s="17"/>
    </row>
    <row r="135" spans="1:11" x14ac:dyDescent="0.3">
      <c r="A135" s="86" t="s">
        <v>311</v>
      </c>
      <c r="B135" s="58" t="str">
        <f t="shared" si="17"/>
        <v>"Contributions in support of Climate Change Adaption (voted)",</v>
      </c>
      <c r="C135" s="15"/>
      <c r="D135" s="15"/>
      <c r="E135" s="15"/>
      <c r="F135" s="16"/>
      <c r="G135" s="58" t="str">
        <f t="shared" si="18"/>
        <v>"",</v>
      </c>
      <c r="H135" s="16"/>
      <c r="I135" s="16"/>
    </row>
    <row r="136" spans="1:11" x14ac:dyDescent="0.3">
      <c r="A136" s="86" t="s">
        <v>312</v>
      </c>
      <c r="B136" s="58" t="str">
        <f t="shared" si="17"/>
        <v>"Contributions in support of Investments in Forest Industry Transformation Program (voted)",</v>
      </c>
      <c r="C136" s="15"/>
      <c r="D136" s="15"/>
      <c r="E136" s="15"/>
      <c r="F136" s="12"/>
      <c r="G136" s="58" t="str">
        <f t="shared" si="18"/>
        <v>"",</v>
      </c>
      <c r="H136" s="14"/>
      <c r="I136" s="14"/>
    </row>
    <row r="137" spans="1:11" x14ac:dyDescent="0.3">
      <c r="A137" s="86" t="s">
        <v>313</v>
      </c>
      <c r="B137" s="58" t="str">
        <f t="shared" si="17"/>
        <v>"Contributions in support of Spruce budworm Early Intervention Strategy – Phase II (voted)",</v>
      </c>
      <c r="C137" s="15"/>
      <c r="D137" s="15"/>
      <c r="E137" s="15"/>
      <c r="F137" s="15"/>
      <c r="G137" s="58" t="str">
        <f t="shared" si="18"/>
        <v>"",</v>
      </c>
      <c r="H137" s="14"/>
      <c r="I137" s="14"/>
    </row>
    <row r="138" spans="1:11" x14ac:dyDescent="0.3">
      <c r="A138" s="86" t="s">
        <v>314</v>
      </c>
      <c r="B138" s="58" t="str">
        <f t="shared" si="17"/>
        <v>"Payments to the Newfoundland Offshore Petroleum Resource Revenue Fund (statutory)",</v>
      </c>
      <c r="C138" s="17"/>
      <c r="D138" s="37"/>
      <c r="E138" s="17"/>
      <c r="F138" s="15"/>
      <c r="G138" s="58" t="str">
        <f t="shared" si="18"/>
        <v>"",</v>
      </c>
      <c r="H138" s="15"/>
      <c r="I138" s="15"/>
    </row>
    <row r="139" spans="1:11" x14ac:dyDescent="0.3">
      <c r="A139" s="86" t="s">
        <v>315</v>
      </c>
      <c r="B139" s="58" t="str">
        <f t="shared" si="17"/>
        <v>"Payments to the Canada-Newfoundland and Labrador Offshore Petroleum Board (statutory)",</v>
      </c>
      <c r="C139" s="17"/>
      <c r="D139" s="36"/>
      <c r="E139" s="12"/>
      <c r="G139" s="58" t="str">
        <f t="shared" si="18"/>
        <v>"",</v>
      </c>
      <c r="H139" s="15"/>
      <c r="I139" s="14"/>
      <c r="J139" s="15"/>
      <c r="K139" s="15"/>
    </row>
    <row r="140" spans="1:11" x14ac:dyDescent="0.3">
      <c r="A140" s="86" t="s">
        <v>316</v>
      </c>
      <c r="B140" s="58" t="str">
        <f>_xlfn.CONCAT("""",TRIM(A140),""",")</f>
        <v>"Contributions in support of Zero Emission Vehicle Infrastructure (voted)",</v>
      </c>
      <c r="C140" s="12"/>
      <c r="D140" s="36"/>
      <c r="E140" s="15"/>
      <c r="G140" s="15"/>
      <c r="H140" s="15"/>
      <c r="I140" s="15"/>
      <c r="J140" s="15"/>
      <c r="K140" s="15"/>
    </row>
    <row r="141" spans="1:11" x14ac:dyDescent="0.3">
      <c r="A141" s="86" t="s">
        <v>317</v>
      </c>
      <c r="B141" s="58" t="str">
        <f t="shared" si="17"/>
        <v>"Contributions in support of Accommodation Measures for the Trans Mountain Expansion project (voted)",</v>
      </c>
      <c r="C141" s="15"/>
      <c r="D141" s="36"/>
      <c r="E141" s="15"/>
      <c r="G141" s="15"/>
      <c r="H141" s="15"/>
      <c r="I141" s="15"/>
      <c r="J141" s="15"/>
      <c r="K141" s="15"/>
    </row>
    <row r="142" spans="1:11" x14ac:dyDescent="0.3">
      <c r="A142" s="86" t="s">
        <v>318</v>
      </c>
      <c r="B142" s="58" t="str">
        <f t="shared" si="17"/>
        <v>"Grants in support of outreach and Engagement, Energy Efficiency and Energy Innovation (voted)",</v>
      </c>
      <c r="C142" s="15"/>
      <c r="D142" s="36"/>
      <c r="E142" s="15"/>
      <c r="G142" s="15"/>
      <c r="H142" s="12"/>
      <c r="I142" s="15"/>
      <c r="J142" s="14"/>
      <c r="K142" s="14"/>
    </row>
    <row r="143" spans="1:11" x14ac:dyDescent="0.3">
      <c r="A143" s="86" t="s">
        <v>319</v>
      </c>
      <c r="B143" s="58" t="str">
        <f t="shared" si="17"/>
        <v>"Grants in support of Innovative Solutions Canada (voted)",</v>
      </c>
      <c r="C143" s="15"/>
      <c r="D143" s="36"/>
      <c r="E143" s="15"/>
      <c r="G143" s="15"/>
      <c r="H143" s="15"/>
      <c r="I143" s="15"/>
      <c r="J143" s="15"/>
      <c r="K143" s="15"/>
    </row>
    <row r="144" spans="1:11" x14ac:dyDescent="0.3">
      <c r="A144" s="86" t="s">
        <v>320</v>
      </c>
      <c r="B144" s="58" t="str">
        <f t="shared" si="17"/>
        <v>"Contributions in support of Small Scale Research (voted)",</v>
      </c>
      <c r="C144" s="15"/>
      <c r="D144" s="36"/>
      <c r="E144" s="15"/>
      <c r="G144" s="15"/>
      <c r="H144" s="15"/>
      <c r="I144" s="15"/>
      <c r="J144" s="15"/>
      <c r="K144" s="15"/>
    </row>
    <row r="145" spans="1:11" x14ac:dyDescent="0.3">
      <c r="A145" s="86" t="s">
        <v>321</v>
      </c>
      <c r="B145" s="58" t="str">
        <f t="shared" si="17"/>
        <v>"Contributions in support of the GeoConnections Program (voted)",</v>
      </c>
      <c r="C145" s="15"/>
      <c r="D145" s="36"/>
      <c r="E145" s="15"/>
      <c r="G145" s="15"/>
      <c r="H145" s="15"/>
      <c r="I145" s="15"/>
      <c r="J145" s="15"/>
      <c r="K145" s="15"/>
    </row>
    <row r="146" spans="1:11" x14ac:dyDescent="0.3">
      <c r="A146" s="86" t="s">
        <v>322</v>
      </c>
      <c r="B146" s="58" t="str">
        <f t="shared" si="17"/>
        <v>"Contributions in support of the Forest Research Institute Initiative (voted)",</v>
      </c>
      <c r="C146" s="15"/>
      <c r="D146" s="36"/>
      <c r="E146" s="12"/>
      <c r="G146" s="12"/>
      <c r="H146" s="15"/>
      <c r="I146" s="14"/>
      <c r="J146" s="15"/>
      <c r="K146" s="15"/>
    </row>
    <row r="147" spans="1:11" x14ac:dyDescent="0.3">
      <c r="A147" s="86" t="s">
        <v>323</v>
      </c>
      <c r="B147" s="58" t="str">
        <f t="shared" si="17"/>
        <v>"Contributions in support of Indigenous Economic Development (voted)",</v>
      </c>
      <c r="C147" s="12"/>
      <c r="D147" s="36"/>
      <c r="E147" s="15"/>
      <c r="G147" s="15"/>
      <c r="H147" s="15"/>
      <c r="I147" s="15"/>
      <c r="J147" s="15"/>
      <c r="K147" s="15"/>
    </row>
    <row r="148" spans="1:11" x14ac:dyDescent="0.3">
      <c r="A148" s="86" t="s">
        <v>324</v>
      </c>
      <c r="B148" s="58" t="str">
        <f t="shared" si="17"/>
        <v>"Payments to the Canada-Nova Scotia Offshore Petroleum Board (Statutory)",</v>
      </c>
      <c r="C148" s="15"/>
      <c r="D148" s="36"/>
      <c r="E148" s="15"/>
      <c r="G148" s="15"/>
      <c r="H148" s="15"/>
      <c r="I148" s="15"/>
      <c r="J148" s="15"/>
      <c r="K148" s="15"/>
    </row>
    <row r="149" spans="1:11" x14ac:dyDescent="0.3">
      <c r="A149" s="86" t="s">
        <v>325</v>
      </c>
      <c r="B149" s="58" t="str">
        <f t="shared" si="17"/>
        <v>"Contributions in support of the Youth Employment Strategy (voted)",</v>
      </c>
      <c r="C149" s="15"/>
      <c r="E149" s="15"/>
      <c r="G149" s="15"/>
      <c r="H149" s="17"/>
      <c r="I149" s="15"/>
      <c r="J149" s="17"/>
      <c r="K149" s="17"/>
    </row>
    <row r="150" spans="1:11" x14ac:dyDescent="0.3">
      <c r="A150" s="86" t="s">
        <v>326</v>
      </c>
      <c r="B150" s="58" t="str">
        <f t="shared" si="17"/>
        <v>"Contributions in support of Indigenous Participation in Dialogues (voted)",</v>
      </c>
      <c r="C150" s="15"/>
      <c r="E150" s="15"/>
      <c r="G150" s="15"/>
      <c r="H150" s="16"/>
      <c r="I150" s="15"/>
      <c r="J150" s="16"/>
      <c r="K150" s="16"/>
    </row>
    <row r="151" spans="1:11" x14ac:dyDescent="0.3">
      <c r="A151" s="86" t="s">
        <v>327</v>
      </c>
      <c r="B151" s="58" t="str">
        <f t="shared" si="17"/>
        <v>"Grants and Contributions in support of Oil Spill Recovery Technology (voted)",</v>
      </c>
      <c r="C151" s="15"/>
    </row>
    <row r="152" spans="1:11" x14ac:dyDescent="0.3">
      <c r="A152" s="86" t="s">
        <v>328</v>
      </c>
      <c r="B152" s="58" t="str">
        <f t="shared" si="17"/>
        <v>"Contributions in support of Cyber Security and Critical Energy Infrastructure Protection (voted)",</v>
      </c>
    </row>
    <row r="153" spans="1:11" x14ac:dyDescent="0.3">
      <c r="A153" s="86" t="s">
        <v>329</v>
      </c>
      <c r="B153" s="58" t="str">
        <f t="shared" si="17"/>
        <v>"Contributions in support of Wildland Fire Resilience (voted)",</v>
      </c>
    </row>
    <row r="154" spans="1:11" s="80" customFormat="1" x14ac:dyDescent="0.3">
      <c r="A154" s="86" t="s">
        <v>330</v>
      </c>
      <c r="B154" s="58" t="str">
        <f t="shared" si="17"/>
        <v>"Contributions in support of Earthquake Early Warning (voted)",</v>
      </c>
    </row>
    <row r="155" spans="1:11" x14ac:dyDescent="0.3">
      <c r="A155" s="86" t="s">
        <v>192</v>
      </c>
      <c r="B155" s="58" t="str">
        <f t="shared" si="17"/>
        <v>"N/A",</v>
      </c>
    </row>
    <row r="157" spans="1:11" x14ac:dyDescent="0.3">
      <c r="A157" s="61" t="s">
        <v>344</v>
      </c>
    </row>
    <row r="158" spans="1:11" x14ac:dyDescent="0.3">
      <c r="A158" s="113" t="s">
        <v>3</v>
      </c>
    </row>
    <row r="159" spans="1:11" x14ac:dyDescent="0.3">
      <c r="A159" s="114" t="s">
        <v>348</v>
      </c>
      <c r="B159" s="58" t="str">
        <f>_xlfn.CONCAT("""",TRIM(A159),""",")</f>
        <v>"Economic Segments - Agriculture industry",</v>
      </c>
    </row>
    <row r="160" spans="1:11" x14ac:dyDescent="0.3">
      <c r="A160" s="114" t="s">
        <v>349</v>
      </c>
      <c r="B160" s="58" t="str">
        <f t="shared" ref="B160:B223" si="19">_xlfn.CONCAT("""",TRIM(A160),""",")</f>
        <v>"Economic Segments - Energy and/or utilities sector",</v>
      </c>
    </row>
    <row r="161" spans="1:2" x14ac:dyDescent="0.3">
      <c r="A161" s="114" t="s">
        <v>350</v>
      </c>
      <c r="B161" s="58" t="str">
        <f t="shared" si="19"/>
        <v>"Economic Segments - Entrepreneurs",</v>
      </c>
    </row>
    <row r="162" spans="1:2" x14ac:dyDescent="0.3">
      <c r="A162" s="114" t="s">
        <v>351</v>
      </c>
      <c r="B162" s="58" t="str">
        <f t="shared" si="19"/>
        <v>"Economic Segments - Finance and/or insurance sectors",</v>
      </c>
    </row>
    <row r="163" spans="1:2" x14ac:dyDescent="0.3">
      <c r="A163" s="114" t="s">
        <v>352</v>
      </c>
      <c r="B163" s="58" t="str">
        <f t="shared" si="19"/>
        <v>"Economic Segments - Fisheries and Aquaculture",</v>
      </c>
    </row>
    <row r="164" spans="1:2" x14ac:dyDescent="0.3">
      <c r="A164" s="114" t="s">
        <v>353</v>
      </c>
      <c r="B164" s="58" t="str">
        <f t="shared" si="19"/>
        <v>"Economic Segments - Forestry industry",</v>
      </c>
    </row>
    <row r="165" spans="1:2" x14ac:dyDescent="0.3">
      <c r="A165" s="114" t="s">
        <v>354</v>
      </c>
      <c r="B165" s="58" t="str">
        <f t="shared" si="19"/>
        <v>"Economic Segments - Hospitality and/or food services industry",</v>
      </c>
    </row>
    <row r="166" spans="1:2" x14ac:dyDescent="0.3">
      <c r="A166" s="114" t="s">
        <v>355</v>
      </c>
      <c r="B166" s="58" t="str">
        <f t="shared" si="19"/>
        <v>"Economic Segments - Housing sector",</v>
      </c>
    </row>
    <row r="167" spans="1:2" x14ac:dyDescent="0.3">
      <c r="A167" s="114" t="s">
        <v>356</v>
      </c>
      <c r="B167" s="58" t="str">
        <f t="shared" si="19"/>
        <v>"Economic Segments - Import / export sectors",</v>
      </c>
    </row>
    <row r="168" spans="1:2" x14ac:dyDescent="0.3">
      <c r="A168" s="114" t="s">
        <v>357</v>
      </c>
      <c r="B168" s="58" t="str">
        <f t="shared" si="19"/>
        <v>"Economic Segments - Indigenous/northern businesses",</v>
      </c>
    </row>
    <row r="169" spans="1:2" x14ac:dyDescent="0.3">
      <c r="A169" s="114" t="s">
        <v>358</v>
      </c>
      <c r="B169" s="58" t="str">
        <f t="shared" si="19"/>
        <v>"Economic Segments - Infrastructure",</v>
      </c>
    </row>
    <row r="170" spans="1:2" x14ac:dyDescent="0.3">
      <c r="A170" s="114" t="s">
        <v>359</v>
      </c>
      <c r="B170" s="58" t="str">
        <f t="shared" si="19"/>
        <v>"Economic Segments - Large sized businesses",</v>
      </c>
    </row>
    <row r="171" spans="1:2" x14ac:dyDescent="0.3">
      <c r="A171" s="114" t="s">
        <v>360</v>
      </c>
      <c r="B171" s="58" t="str">
        <f t="shared" si="19"/>
        <v>"Economic Segments - Manufacturing industry",</v>
      </c>
    </row>
    <row r="172" spans="1:2" x14ac:dyDescent="0.3">
      <c r="A172" s="114" t="s">
        <v>361</v>
      </c>
      <c r="B172" s="58" t="str">
        <f t="shared" si="19"/>
        <v>"Economic Segments - Medium sized businesses",</v>
      </c>
    </row>
    <row r="173" spans="1:2" s="80" customFormat="1" x14ac:dyDescent="0.3">
      <c r="A173" s="114" t="s">
        <v>345</v>
      </c>
      <c r="B173" s="58" t="str">
        <f t="shared" si="19"/>
        <v>"Economic Segments - Mining, and/or oil &amp; gas exploration industries",</v>
      </c>
    </row>
    <row r="174" spans="1:2" x14ac:dyDescent="0.3">
      <c r="A174" s="114" t="s">
        <v>362</v>
      </c>
      <c r="B174" s="58" t="str">
        <f t="shared" si="19"/>
        <v>"Economic Segments - Movie, television, and/or publishing sectors",</v>
      </c>
    </row>
    <row r="175" spans="1:2" x14ac:dyDescent="0.3">
      <c r="A175" s="114" t="s">
        <v>363</v>
      </c>
      <c r="B175" s="58" t="str">
        <f t="shared" si="19"/>
        <v>"Economic Segments - Performing arts sector",</v>
      </c>
    </row>
    <row r="176" spans="1:2" x14ac:dyDescent="0.3">
      <c r="A176" s="114" t="s">
        <v>364</v>
      </c>
      <c r="B176" s="58" t="str">
        <f t="shared" si="19"/>
        <v>"Economic Segments - Retail industry",</v>
      </c>
    </row>
    <row r="177" spans="1:2" x14ac:dyDescent="0.3">
      <c r="A177" s="114" t="s">
        <v>365</v>
      </c>
      <c r="B177" s="58" t="str">
        <f t="shared" si="19"/>
        <v>"Economic Segments - Science and technology industry",</v>
      </c>
    </row>
    <row r="178" spans="1:2" x14ac:dyDescent="0.3">
      <c r="A178" s="114" t="s">
        <v>366</v>
      </c>
      <c r="B178" s="58" t="str">
        <f t="shared" si="19"/>
        <v>"Economic Segments - Small and Medium Enterprises",</v>
      </c>
    </row>
    <row r="179" spans="1:2" x14ac:dyDescent="0.3">
      <c r="A179" s="114" t="s">
        <v>367</v>
      </c>
      <c r="B179" s="58" t="str">
        <f t="shared" si="19"/>
        <v>"Economic Segments - Small sized businesses",</v>
      </c>
    </row>
    <row r="180" spans="1:2" x14ac:dyDescent="0.3">
      <c r="A180" s="114" t="s">
        <v>368</v>
      </c>
      <c r="B180" s="58" t="str">
        <f t="shared" si="19"/>
        <v>"Economic Segments - Sports and/or recreation industry",</v>
      </c>
    </row>
    <row r="181" spans="1:2" x14ac:dyDescent="0.3">
      <c r="A181" s="114" t="s">
        <v>369</v>
      </c>
      <c r="B181" s="58" t="str">
        <f t="shared" si="19"/>
        <v>"Economic Segments - Telecommunications sector",</v>
      </c>
    </row>
    <row r="182" spans="1:2" x14ac:dyDescent="0.3">
      <c r="A182" s="114" t="s">
        <v>370</v>
      </c>
      <c r="B182" s="58" t="str">
        <f t="shared" si="19"/>
        <v>"Economic Segments - Training and/or educational sectors",</v>
      </c>
    </row>
    <row r="183" spans="1:2" x14ac:dyDescent="0.3">
      <c r="A183" s="114" t="s">
        <v>371</v>
      </c>
      <c r="B183" s="58" t="str">
        <f t="shared" si="19"/>
        <v>"Economic Segments - Transportation industry",</v>
      </c>
    </row>
    <row r="184" spans="1:2" x14ac:dyDescent="0.3">
      <c r="A184" s="114" t="s">
        <v>372</v>
      </c>
      <c r="B184" s="58" t="str">
        <f t="shared" si="19"/>
        <v>"Environmental - Contaminated sites",</v>
      </c>
    </row>
    <row r="185" spans="1:2" x14ac:dyDescent="0.3">
      <c r="A185" s="114" t="s">
        <v>373</v>
      </c>
      <c r="B185" s="58" t="str">
        <f t="shared" si="19"/>
        <v>"Environmental - Ecological systems and/or natural habitats",</v>
      </c>
    </row>
    <row r="186" spans="1:2" x14ac:dyDescent="0.3">
      <c r="A186" s="114" t="s">
        <v>374</v>
      </c>
      <c r="B186" s="58" t="str">
        <f t="shared" si="19"/>
        <v>"Environmental - Greenhouse gas emitters",</v>
      </c>
    </row>
    <row r="187" spans="1:2" x14ac:dyDescent="0.3">
      <c r="A187" s="114" t="s">
        <v>375</v>
      </c>
      <c r="B187" s="58" t="str">
        <f t="shared" si="19"/>
        <v>"Environmental - Species at risk and/or invasive species",</v>
      </c>
    </row>
    <row r="188" spans="1:2" x14ac:dyDescent="0.3">
      <c r="A188" s="114" t="s">
        <v>376</v>
      </c>
      <c r="B188" s="58" t="str">
        <f t="shared" si="19"/>
        <v>"Environmental - Water treatment / distribution facilities",</v>
      </c>
    </row>
    <row r="189" spans="1:2" x14ac:dyDescent="0.3">
      <c r="A189" s="114" t="s">
        <v>377</v>
      </c>
      <c r="B189" s="58" t="str">
        <f t="shared" si="19"/>
        <v>"Foreign Entities - Civil society in developing countries / regions",</v>
      </c>
    </row>
    <row r="190" spans="1:2" x14ac:dyDescent="0.3">
      <c r="A190" s="114" t="s">
        <v>378</v>
      </c>
      <c r="B190" s="58" t="str">
        <f t="shared" si="19"/>
        <v>"Foreign Entities - Families in developing countries / regions",</v>
      </c>
    </row>
    <row r="191" spans="1:2" x14ac:dyDescent="0.3">
      <c r="A191" s="114" t="s">
        <v>379</v>
      </c>
      <c r="B191" s="58" t="str">
        <f t="shared" si="19"/>
        <v>"Foreign Entities - Foreign governments",</v>
      </c>
    </row>
    <row r="192" spans="1:2" x14ac:dyDescent="0.3">
      <c r="A192" s="114" t="s">
        <v>380</v>
      </c>
      <c r="B192" s="58" t="str">
        <f t="shared" si="19"/>
        <v>"Foreign Entities - Government institutions in developing countries / regions",</v>
      </c>
    </row>
    <row r="193" spans="1:2" x14ac:dyDescent="0.3">
      <c r="A193" s="114" t="s">
        <v>381</v>
      </c>
      <c r="B193" s="58" t="str">
        <f t="shared" si="19"/>
        <v>"Foreign Entities - International organizations and/or alliances",</v>
      </c>
    </row>
    <row r="194" spans="1:2" x14ac:dyDescent="0.3">
      <c r="A194" s="114" t="s">
        <v>382</v>
      </c>
      <c r="B194" s="58" t="str">
        <f t="shared" si="19"/>
        <v>"Foreign Entities - Private sector / businesses in developing countries / regions",</v>
      </c>
    </row>
    <row r="195" spans="1:2" x14ac:dyDescent="0.3">
      <c r="A195" s="114" t="s">
        <v>383</v>
      </c>
      <c r="B195" s="58" t="str">
        <f t="shared" si="19"/>
        <v>"Internal to Government - Canadian Forces",</v>
      </c>
    </row>
    <row r="196" spans="1:2" x14ac:dyDescent="0.3">
      <c r="A196" s="114" t="s">
        <v>384</v>
      </c>
      <c r="B196" s="58" t="str">
        <f t="shared" si="19"/>
        <v>"Internal to Government - Federal departments and/or agencies",</v>
      </c>
    </row>
    <row r="197" spans="1:2" x14ac:dyDescent="0.3">
      <c r="A197" s="114" t="s">
        <v>385</v>
      </c>
      <c r="B197" s="58" t="str">
        <f t="shared" si="19"/>
        <v>"Internal to Government - Federal public service",</v>
      </c>
    </row>
    <row r="198" spans="1:2" x14ac:dyDescent="0.3">
      <c r="A198" s="114" t="s">
        <v>386</v>
      </c>
      <c r="B198" s="58" t="str">
        <f t="shared" si="19"/>
        <v>"Internal to Government - Program(s) within the same department or agency",</v>
      </c>
    </row>
    <row r="199" spans="1:2" x14ac:dyDescent="0.3">
      <c r="A199" s="114" t="s">
        <v>387</v>
      </c>
      <c r="B199" s="58" t="str">
        <f t="shared" si="19"/>
        <v>"Internal to Government - Public servants",</v>
      </c>
    </row>
    <row r="200" spans="1:2" x14ac:dyDescent="0.3">
      <c r="A200" s="114" t="s">
        <v>388</v>
      </c>
      <c r="B200" s="58" t="str">
        <f t="shared" si="19"/>
        <v>"Non-Profit Institutions and Organizations - Colleges and/or universities",</v>
      </c>
    </row>
    <row r="201" spans="1:2" x14ac:dyDescent="0.3">
      <c r="A201" s="114" t="s">
        <v>389</v>
      </c>
      <c r="B201" s="58" t="str">
        <f t="shared" si="19"/>
        <v>"Non-Profit Institutions and Organizations - Health care and/or social assistance sectors",</v>
      </c>
    </row>
    <row r="202" spans="1:2" x14ac:dyDescent="0.3">
      <c r="A202" s="114" t="s">
        <v>390</v>
      </c>
      <c r="B202" s="58" t="str">
        <f t="shared" si="19"/>
        <v>"Non-Profit Institutions and Organizations - Heritage institutions",</v>
      </c>
    </row>
    <row r="203" spans="1:2" x14ac:dyDescent="0.3">
      <c r="A203" s="114" t="s">
        <v>391</v>
      </c>
      <c r="B203" s="58" t="str">
        <f t="shared" si="19"/>
        <v>"Non-Profit Institutions and Organizations - Non-governmental organizations (NGO)",</v>
      </c>
    </row>
    <row r="204" spans="1:2" x14ac:dyDescent="0.3">
      <c r="A204" s="114" t="s">
        <v>392</v>
      </c>
      <c r="B204" s="58" t="str">
        <f t="shared" si="19"/>
        <v>"Persons - Artists and/or performers",</v>
      </c>
    </row>
    <row r="205" spans="1:2" x14ac:dyDescent="0.3">
      <c r="A205" s="114" t="s">
        <v>393</v>
      </c>
      <c r="B205" s="58" t="str">
        <f t="shared" si="19"/>
        <v>"Persons - Athletes and/or coaches",</v>
      </c>
    </row>
    <row r="206" spans="1:2" x14ac:dyDescent="0.3">
      <c r="A206" s="114" t="s">
        <v>394</v>
      </c>
      <c r="B206" s="58" t="str">
        <f t="shared" si="19"/>
        <v>"Persons - Canadians travelling, working, studying, and/or living abroad",</v>
      </c>
    </row>
    <row r="207" spans="1:2" x14ac:dyDescent="0.3">
      <c r="A207" s="114" t="s">
        <v>395</v>
      </c>
      <c r="B207" s="58" t="str">
        <f t="shared" si="19"/>
        <v>"Persons - Children",</v>
      </c>
    </row>
    <row r="208" spans="1:2" x14ac:dyDescent="0.3">
      <c r="A208" s="114" t="s">
        <v>396</v>
      </c>
      <c r="B208" s="58" t="str">
        <f t="shared" si="19"/>
        <v>"Persons - Consumers",</v>
      </c>
    </row>
    <row r="209" spans="1:2" x14ac:dyDescent="0.3">
      <c r="A209" s="114" t="s">
        <v>397</v>
      </c>
      <c r="B209" s="58" t="str">
        <f t="shared" si="19"/>
        <v>"Persons - Dependants of Military and Law Enforcement Veterans",</v>
      </c>
    </row>
    <row r="210" spans="1:2" x14ac:dyDescent="0.3">
      <c r="A210" s="114" t="s">
        <v>398</v>
      </c>
      <c r="B210" s="58" t="str">
        <f t="shared" si="19"/>
        <v>"Persons - Detained and/or formerly incarcerated individuals",</v>
      </c>
    </row>
    <row r="211" spans="1:2" x14ac:dyDescent="0.3">
      <c r="A211" s="114" t="s">
        <v>399</v>
      </c>
      <c r="B211" s="58" t="str">
        <f t="shared" si="19"/>
        <v>"Persons - Families",</v>
      </c>
    </row>
    <row r="212" spans="1:2" x14ac:dyDescent="0.3">
      <c r="A212" s="114" t="s">
        <v>400</v>
      </c>
      <c r="B212" s="58" t="str">
        <f t="shared" si="19"/>
        <v>"Persons - Farmers",</v>
      </c>
    </row>
    <row r="213" spans="1:2" x14ac:dyDescent="0.3">
      <c r="A213" s="114" t="s">
        <v>401</v>
      </c>
      <c r="B213" s="58" t="str">
        <f t="shared" si="19"/>
        <v>"Persons - Foreign and/or migrant workers",</v>
      </c>
    </row>
    <row r="214" spans="1:2" x14ac:dyDescent="0.3">
      <c r="A214" s="114" t="s">
        <v>402</v>
      </c>
      <c r="B214" s="58" t="str">
        <f t="shared" si="19"/>
        <v>"Persons - Foreign investors and/or foreign entrepreneurs",</v>
      </c>
    </row>
    <row r="215" spans="1:2" x14ac:dyDescent="0.3">
      <c r="A215" s="114" t="s">
        <v>403</v>
      </c>
      <c r="B215" s="58" t="str">
        <f t="shared" si="19"/>
        <v>"Persons - General public",</v>
      </c>
    </row>
    <row r="216" spans="1:2" x14ac:dyDescent="0.3">
      <c r="A216" s="114" t="s">
        <v>404</v>
      </c>
      <c r="B216" s="58" t="str">
        <f t="shared" si="19"/>
        <v>"Persons - Health care professionals",</v>
      </c>
    </row>
    <row r="217" spans="1:2" x14ac:dyDescent="0.3">
      <c r="A217" s="114" t="s">
        <v>405</v>
      </c>
      <c r="B217" s="58" t="str">
        <f t="shared" si="19"/>
        <v>"Persons - Immigrants and/or refugees",</v>
      </c>
    </row>
    <row r="218" spans="1:2" x14ac:dyDescent="0.3">
      <c r="A218" s="114" t="s">
        <v>406</v>
      </c>
      <c r="B218" s="58" t="str">
        <f t="shared" si="19"/>
        <v>"Persons - Indigenous people",</v>
      </c>
    </row>
    <row r="219" spans="1:2" x14ac:dyDescent="0.3">
      <c r="A219" s="114" t="s">
        <v>407</v>
      </c>
      <c r="B219" s="58" t="str">
        <f t="shared" si="19"/>
        <v>"Persons - International students",</v>
      </c>
    </row>
    <row r="220" spans="1:2" x14ac:dyDescent="0.3">
      <c r="A220" s="114" t="s">
        <v>408</v>
      </c>
      <c r="B220" s="58" t="str">
        <f t="shared" si="19"/>
        <v>"Persons - Language minority communities",</v>
      </c>
    </row>
    <row r="221" spans="1:2" x14ac:dyDescent="0.3">
      <c r="A221" s="114" t="s">
        <v>409</v>
      </c>
      <c r="B221" s="58" t="str">
        <f t="shared" si="19"/>
        <v>"Persons - Law enforcement officials",</v>
      </c>
    </row>
    <row r="222" spans="1:2" x14ac:dyDescent="0.3">
      <c r="A222" s="114" t="s">
        <v>410</v>
      </c>
      <c r="B222" s="58" t="str">
        <f t="shared" si="19"/>
        <v>"Persons - Legal professionals",</v>
      </c>
    </row>
    <row r="223" spans="1:2" x14ac:dyDescent="0.3">
      <c r="A223" s="114" t="s">
        <v>411</v>
      </c>
      <c r="B223" s="58" t="str">
        <f t="shared" si="19"/>
        <v>"Persons - Low-income individuals and/or families",</v>
      </c>
    </row>
    <row r="224" spans="1:2" x14ac:dyDescent="0.3">
      <c r="A224" s="114" t="s">
        <v>412</v>
      </c>
      <c r="B224" s="58" t="str">
        <f t="shared" ref="B224:B246" si="20">_xlfn.CONCAT("""",TRIM(A224),""",")</f>
        <v>"Persons - Members of Parliament",</v>
      </c>
    </row>
    <row r="225" spans="1:2" x14ac:dyDescent="0.3">
      <c r="A225" s="114" t="s">
        <v>413</v>
      </c>
      <c r="B225" s="58" t="str">
        <f t="shared" si="20"/>
        <v>"Persons - Military personnel",</v>
      </c>
    </row>
    <row r="226" spans="1:2" x14ac:dyDescent="0.3">
      <c r="A226" s="114" t="s">
        <v>414</v>
      </c>
      <c r="B226" s="58" t="str">
        <f t="shared" si="20"/>
        <v>"Persons - Persons with disabilities",</v>
      </c>
    </row>
    <row r="227" spans="1:2" s="80" customFormat="1" x14ac:dyDescent="0.3">
      <c r="A227" s="114" t="s">
        <v>346</v>
      </c>
      <c r="B227" s="58" t="str">
        <f t="shared" si="20"/>
        <v>"Persons - Scientific researchers",</v>
      </c>
    </row>
    <row r="228" spans="1:2" x14ac:dyDescent="0.3">
      <c r="A228" s="114" t="s">
        <v>415</v>
      </c>
      <c r="B228" s="58" t="str">
        <f t="shared" si="20"/>
        <v>"Persons - Seniors",</v>
      </c>
    </row>
    <row r="229" spans="1:2" x14ac:dyDescent="0.3">
      <c r="A229" s="114" t="s">
        <v>416</v>
      </c>
      <c r="B229" s="58" t="str">
        <f t="shared" si="20"/>
        <v>"Persons - Socio-economic researchers",</v>
      </c>
    </row>
    <row r="230" spans="1:2" x14ac:dyDescent="0.3">
      <c r="A230" s="114" t="s">
        <v>417</v>
      </c>
      <c r="B230" s="58" t="str">
        <f t="shared" si="20"/>
        <v>"Persons - Students",</v>
      </c>
    </row>
    <row r="231" spans="1:2" x14ac:dyDescent="0.3">
      <c r="A231" s="114" t="s">
        <v>418</v>
      </c>
      <c r="B231" s="58" t="str">
        <f t="shared" si="20"/>
        <v>"Persons - Tourists and/or foreign visitors",</v>
      </c>
    </row>
    <row r="232" spans="1:2" x14ac:dyDescent="0.3">
      <c r="A232" s="114" t="s">
        <v>419</v>
      </c>
      <c r="B232" s="58" t="str">
        <f t="shared" si="20"/>
        <v>"Persons - Unemployed",</v>
      </c>
    </row>
    <row r="233" spans="1:2" x14ac:dyDescent="0.3">
      <c r="A233" s="114" t="s">
        <v>420</v>
      </c>
      <c r="B233" s="58" t="str">
        <f t="shared" si="20"/>
        <v>"Persons - Veterans",</v>
      </c>
    </row>
    <row r="234" spans="1:2" x14ac:dyDescent="0.3">
      <c r="A234" s="114" t="s">
        <v>421</v>
      </c>
      <c r="B234" s="58" t="str">
        <f t="shared" si="20"/>
        <v>"Persons - Victims",</v>
      </c>
    </row>
    <row r="235" spans="1:2" x14ac:dyDescent="0.3">
      <c r="A235" s="114" t="s">
        <v>422</v>
      </c>
      <c r="B235" s="58" t="str">
        <f t="shared" si="20"/>
        <v>"Persons - Violators of regulations and/or laws",</v>
      </c>
    </row>
    <row r="236" spans="1:2" x14ac:dyDescent="0.3">
      <c r="A236" s="114" t="s">
        <v>423</v>
      </c>
      <c r="B236" s="58" t="str">
        <f t="shared" si="20"/>
        <v>"Persons - Voters",</v>
      </c>
    </row>
    <row r="237" spans="1:2" x14ac:dyDescent="0.3">
      <c r="A237" s="114" t="s">
        <v>424</v>
      </c>
      <c r="B237" s="58" t="str">
        <f t="shared" si="20"/>
        <v>"Persons - Women",</v>
      </c>
    </row>
    <row r="238" spans="1:2" x14ac:dyDescent="0.3">
      <c r="A238" s="114" t="s">
        <v>425</v>
      </c>
      <c r="B238" s="58" t="str">
        <f t="shared" si="20"/>
        <v>"Persons - Workers",</v>
      </c>
    </row>
    <row r="239" spans="1:2" x14ac:dyDescent="0.3">
      <c r="A239" s="114" t="s">
        <v>426</v>
      </c>
      <c r="B239" s="58" t="str">
        <f t="shared" si="20"/>
        <v>"Persons - Youth",</v>
      </c>
    </row>
    <row r="240" spans="1:2" x14ac:dyDescent="0.3">
      <c r="A240" s="114" t="s">
        <v>427</v>
      </c>
      <c r="B240" s="58" t="str">
        <f t="shared" si="20"/>
        <v>"Provinces, Territories and Communities - Indigenous Band, Tribal Council, Nation and/or Alliance",</v>
      </c>
    </row>
    <row r="241" spans="1:2" x14ac:dyDescent="0.3">
      <c r="A241" s="114" t="s">
        <v>428</v>
      </c>
      <c r="B241" s="58" t="str">
        <f t="shared" si="20"/>
        <v>"Provinces, Territories and Communities - Local and/or regional communities",</v>
      </c>
    </row>
    <row r="242" spans="1:2" x14ac:dyDescent="0.3">
      <c r="A242" s="114" t="s">
        <v>429</v>
      </c>
      <c r="B242" s="58" t="str">
        <f t="shared" si="20"/>
        <v>"Provinces, Territories and Communities - Municipal governments",</v>
      </c>
    </row>
    <row r="243" spans="1:2" x14ac:dyDescent="0.3">
      <c r="A243" s="114" t="s">
        <v>430</v>
      </c>
      <c r="B243" s="58" t="str">
        <f t="shared" si="20"/>
        <v>"Provinces, Territories and Communities - Northern communities",</v>
      </c>
    </row>
    <row r="244" spans="1:2" s="80" customFormat="1" x14ac:dyDescent="0.3">
      <c r="A244" s="114" t="s">
        <v>347</v>
      </c>
      <c r="B244" s="58" t="str">
        <f t="shared" si="20"/>
        <v>"Provinces, Territories and Communities - Provincial &amp; territorial governments",</v>
      </c>
    </row>
    <row r="245" spans="1:2" x14ac:dyDescent="0.3">
      <c r="A245" s="114" t="s">
        <v>431</v>
      </c>
      <c r="B245" s="58" t="str">
        <f t="shared" si="20"/>
        <v>"Provinces, Territories and Communities - Rural communities",</v>
      </c>
    </row>
    <row r="246" spans="1:2" x14ac:dyDescent="0.3">
      <c r="A246" s="114" t="s">
        <v>432</v>
      </c>
      <c r="B246" s="58" t="str">
        <f t="shared" si="20"/>
        <v>"Provinces, Territories and Communities - Urban communities",</v>
      </c>
    </row>
    <row r="248" spans="1:2" s="80" customFormat="1" x14ac:dyDescent="0.3">
      <c r="A248" s="114" t="s">
        <v>341</v>
      </c>
    </row>
    <row r="249" spans="1:2" s="80" customFormat="1" x14ac:dyDescent="0.3">
      <c r="A249" s="115" t="s">
        <v>3</v>
      </c>
    </row>
    <row r="250" spans="1:2" x14ac:dyDescent="0.3">
      <c r="A250" s="114" t="s">
        <v>433</v>
      </c>
      <c r="B250" s="58" t="str">
        <f t="shared" ref="B250:B267" si="21">_xlfn.CONCAT("""",TRIM(A250),""",")</f>
        <v>"Employment and Income Security",</v>
      </c>
    </row>
    <row r="251" spans="1:2" x14ac:dyDescent="0.3">
      <c r="A251" s="114" t="s">
        <v>434</v>
      </c>
      <c r="B251" s="58" t="str">
        <f t="shared" si="21"/>
        <v>"Economic Development",</v>
      </c>
    </row>
    <row r="252" spans="1:2" s="80" customFormat="1" x14ac:dyDescent="0.3">
      <c r="A252" s="114" t="s">
        <v>449</v>
      </c>
      <c r="B252" s="58" t="str">
        <f t="shared" si="21"/>
        <v>"Research and Development",</v>
      </c>
    </row>
    <row r="253" spans="1:2" s="80" customFormat="1" x14ac:dyDescent="0.3">
      <c r="A253" s="114" t="s">
        <v>448</v>
      </c>
      <c r="B253" s="58" t="str">
        <f t="shared" si="21"/>
        <v>"Environment",</v>
      </c>
    </row>
    <row r="254" spans="1:2" x14ac:dyDescent="0.3">
      <c r="A254" s="114" t="s">
        <v>435</v>
      </c>
      <c r="B254" s="58" t="str">
        <f t="shared" si="21"/>
        <v>"Market integrity, regulation, and competition",</v>
      </c>
    </row>
    <row r="255" spans="1:2" x14ac:dyDescent="0.3">
      <c r="A255" s="114" t="s">
        <v>436</v>
      </c>
      <c r="B255" s="58" t="str">
        <f t="shared" si="21"/>
        <v>"Health",</v>
      </c>
    </row>
    <row r="256" spans="1:2" x14ac:dyDescent="0.3">
      <c r="A256" s="114" t="s">
        <v>437</v>
      </c>
      <c r="B256" s="58" t="str">
        <f t="shared" si="21"/>
        <v>"Safety and Security",</v>
      </c>
    </row>
    <row r="257" spans="1:3" x14ac:dyDescent="0.3">
      <c r="A257" s="114" t="s">
        <v>438</v>
      </c>
      <c r="B257" s="58" t="str">
        <f t="shared" si="21"/>
        <v>"Social Inclusion",</v>
      </c>
    </row>
    <row r="258" spans="1:3" x14ac:dyDescent="0.3">
      <c r="A258" s="114" t="s">
        <v>439</v>
      </c>
      <c r="B258" s="58" t="str">
        <f t="shared" si="21"/>
        <v>"Heritage and Culture",</v>
      </c>
    </row>
    <row r="259" spans="1:3" x14ac:dyDescent="0.3">
      <c r="A259" s="114" t="s">
        <v>440</v>
      </c>
      <c r="B259" s="58" t="str">
        <f t="shared" si="21"/>
        <v>"International Engagement",</v>
      </c>
    </row>
    <row r="260" spans="1:3" x14ac:dyDescent="0.3">
      <c r="A260" s="114" t="s">
        <v>441</v>
      </c>
      <c r="B260" s="58" t="str">
        <f t="shared" si="21"/>
        <v>"International Development",</v>
      </c>
    </row>
    <row r="261" spans="1:3" x14ac:dyDescent="0.3">
      <c r="A261" s="114" t="s">
        <v>442</v>
      </c>
      <c r="B261" s="58" t="str">
        <f t="shared" si="21"/>
        <v>"North American Partnership",</v>
      </c>
    </row>
    <row r="262" spans="1:3" x14ac:dyDescent="0.3">
      <c r="A262" s="114" t="s">
        <v>443</v>
      </c>
      <c r="B262" s="58" t="str">
        <f t="shared" si="21"/>
        <v>"International Trade and Investment",</v>
      </c>
    </row>
    <row r="263" spans="1:3" x14ac:dyDescent="0.3">
      <c r="A263" s="114" t="s">
        <v>444</v>
      </c>
      <c r="B263" s="58" t="str">
        <f t="shared" si="21"/>
        <v>"Democratic Institutions",</v>
      </c>
    </row>
    <row r="264" spans="1:3" x14ac:dyDescent="0.3">
      <c r="A264" s="114" t="s">
        <v>445</v>
      </c>
      <c r="B264" s="58" t="str">
        <f t="shared" si="21"/>
        <v>"Transparency and Accountability",</v>
      </c>
    </row>
    <row r="265" spans="1:3" x14ac:dyDescent="0.3">
      <c r="A265" s="114" t="s">
        <v>446</v>
      </c>
      <c r="B265" s="58" t="str">
        <f t="shared" si="21"/>
        <v>"Government Operations",</v>
      </c>
    </row>
    <row r="266" spans="1:3" x14ac:dyDescent="0.3">
      <c r="A266" s="114" t="s">
        <v>132</v>
      </c>
      <c r="B266" s="58" t="str">
        <f t="shared" si="21"/>
        <v>"Internal Services",</v>
      </c>
    </row>
    <row r="267" spans="1:3" x14ac:dyDescent="0.3">
      <c r="A267" s="114" t="s">
        <v>447</v>
      </c>
      <c r="B267" s="58" t="str">
        <f t="shared" si="21"/>
        <v>"Crown Corporations",</v>
      </c>
    </row>
    <row r="269" spans="1:3" x14ac:dyDescent="0.3">
      <c r="A269" s="114" t="s">
        <v>453</v>
      </c>
    </row>
    <row r="270" spans="1:3" s="80" customFormat="1" x14ac:dyDescent="0.3">
      <c r="A270" s="115" t="s">
        <v>3</v>
      </c>
    </row>
    <row r="271" spans="1:3" x14ac:dyDescent="0.3">
      <c r="A271" s="115" t="s">
        <v>3</v>
      </c>
      <c r="B271" s="121" t="s">
        <v>513</v>
      </c>
      <c r="C271" s="58" t="str">
        <f>_xlfn.CONCAT("""",A271,""",")</f>
        <v>"- Menu Select -",</v>
      </c>
    </row>
    <row r="272" spans="1:3" s="80" customFormat="1" x14ac:dyDescent="0.3">
      <c r="A272" s="114" t="s">
        <v>456</v>
      </c>
      <c r="B272" s="121" t="s">
        <v>513</v>
      </c>
      <c r="C272" s="58" t="str">
        <f t="shared" ref="C272:C284" si="22">_xlfn.CONCAT("""",A272,""",")</f>
        <v>"Protecting Canadians from the impacts of natural and human-induced hazards ",</v>
      </c>
    </row>
    <row r="273" spans="1:3" x14ac:dyDescent="0.3">
      <c r="A273" s="114" t="s">
        <v>457</v>
      </c>
      <c r="B273" s="121" t="s">
        <v>513</v>
      </c>
      <c r="C273" s="58" t="str">
        <f t="shared" si="22"/>
        <v>"Accelerating the adoption of clean technology and supporting the transition to a low-carbon future",</v>
      </c>
    </row>
    <row r="274" spans="1:3" x14ac:dyDescent="0.3">
      <c r="A274" s="114" t="s">
        <v>458</v>
      </c>
      <c r="B274" s="121" t="s">
        <v>513</v>
      </c>
      <c r="C274" s="58" t="str">
        <f t="shared" si="22"/>
        <v>"Advancing reconciliation, building relationships, and sharing economic benefits with Indigenous peoples ",</v>
      </c>
    </row>
    <row r="275" spans="1:3" x14ac:dyDescent="0.3">
      <c r="A275" s="115" t="s">
        <v>3</v>
      </c>
      <c r="B275" s="80" t="s">
        <v>514</v>
      </c>
      <c r="C275" s="58" t="str">
        <f t="shared" si="22"/>
        <v>"- Menu Select -",</v>
      </c>
    </row>
    <row r="276" spans="1:3" x14ac:dyDescent="0.3">
      <c r="A276" s="114" t="s">
        <v>459</v>
      </c>
      <c r="B276" s="10" t="s">
        <v>514</v>
      </c>
      <c r="C276" s="58" t="str">
        <f t="shared" si="22"/>
        <v>"Accelerating the adoption of clean technology and supporting the transition of a low-carbon future",</v>
      </c>
    </row>
    <row r="277" spans="1:3" s="80" customFormat="1" x14ac:dyDescent="0.3">
      <c r="A277" s="114" t="s">
        <v>460</v>
      </c>
      <c r="B277" s="80" t="s">
        <v>514</v>
      </c>
      <c r="C277" s="58" t="str">
        <f t="shared" si="22"/>
        <v>"Improving market access and competitiveness in Canada’s resource sectors",</v>
      </c>
    </row>
    <row r="278" spans="1:3" x14ac:dyDescent="0.3">
      <c r="A278" s="114" t="s">
        <v>461</v>
      </c>
      <c r="B278" s="10" t="s">
        <v>514</v>
      </c>
      <c r="C278" s="58" t="str">
        <f t="shared" si="22"/>
        <v>"Supporting resource communities and workers in a low carbon economy",</v>
      </c>
    </row>
    <row r="279" spans="1:3" x14ac:dyDescent="0.3">
      <c r="A279" s="114" t="s">
        <v>462</v>
      </c>
      <c r="B279" s="10" t="s">
        <v>514</v>
      </c>
      <c r="C279" s="58" t="str">
        <f t="shared" si="22"/>
        <v>" Advancing reconciliation, building relationships, and sharing economic benefits with Indigenous peoples ",</v>
      </c>
    </row>
    <row r="280" spans="1:3" x14ac:dyDescent="0.3">
      <c r="A280" s="115" t="s">
        <v>3</v>
      </c>
      <c r="B280" s="121" t="s">
        <v>515</v>
      </c>
      <c r="C280" s="58" t="str">
        <f t="shared" si="22"/>
        <v>"- Menu Select -",</v>
      </c>
    </row>
    <row r="281" spans="1:3" s="80" customFormat="1" x14ac:dyDescent="0.3">
      <c r="A281" s="114" t="s">
        <v>459</v>
      </c>
      <c r="B281" s="121" t="s">
        <v>515</v>
      </c>
      <c r="C281" s="58" t="str">
        <f t="shared" si="22"/>
        <v>"Accelerating the adoption of clean technology and supporting the transition of a low-carbon future",</v>
      </c>
    </row>
    <row r="282" spans="1:3" x14ac:dyDescent="0.3">
      <c r="A282" s="114" t="s">
        <v>460</v>
      </c>
      <c r="B282" s="121" t="s">
        <v>515</v>
      </c>
      <c r="C282" s="58" t="str">
        <f t="shared" si="22"/>
        <v>"Improving market access and competitiveness in Canada’s resource sectors",</v>
      </c>
    </row>
    <row r="283" spans="1:3" x14ac:dyDescent="0.3">
      <c r="A283" s="114" t="s">
        <v>463</v>
      </c>
      <c r="B283" s="121" t="s">
        <v>515</v>
      </c>
      <c r="C283" s="58" t="str">
        <f t="shared" si="22"/>
        <v>"Supporting resource communities and workers in a low-carbon economy",</v>
      </c>
    </row>
    <row r="284" spans="1:3" x14ac:dyDescent="0.3">
      <c r="A284" s="114" t="s">
        <v>462</v>
      </c>
      <c r="B284" s="121" t="s">
        <v>515</v>
      </c>
      <c r="C284" s="58" t="str">
        <f t="shared" si="22"/>
        <v>" Advancing reconciliation, building relationships, and sharing economic benefits with Indigenous peoples ",</v>
      </c>
    </row>
    <row r="286" spans="1:3" x14ac:dyDescent="0.3">
      <c r="A286" s="114" t="s">
        <v>494</v>
      </c>
    </row>
    <row r="287" spans="1:3" x14ac:dyDescent="0.3">
      <c r="A287" s="115" t="s">
        <v>3</v>
      </c>
    </row>
    <row r="288" spans="1:3" x14ac:dyDescent="0.3">
      <c r="A288" s="114" t="s">
        <v>497</v>
      </c>
      <c r="B288" s="58" t="str">
        <f>_xlfn.CONCAT("""",TRIM(A288),""",")</f>
        <v>"Identify opportunities to support workers and businesses in the natural resource sectors that are seeking to export their goods to global markets",</v>
      </c>
    </row>
    <row r="289" spans="1:2" x14ac:dyDescent="0.3">
      <c r="A289" s="114" t="s">
        <v>495</v>
      </c>
      <c r="B289" s="58" t="str">
        <f t="shared" ref="B289:B304" si="23">_xlfn.CONCAT("""",TRIM(A289),""",")</f>
        <v>"Building on the work completed in the Government’s first term, work with partners to implement, as appropriate, the recommendations of the Generation Energy Council Report",</v>
      </c>
    </row>
    <row r="290" spans="1:2" x14ac:dyDescent="0.3">
      <c r="A290" s="114" t="s">
        <v>496</v>
      </c>
      <c r="B290" s="58" t="str">
        <f t="shared" si="23"/>
        <v>"Position Canada as a global leader in clean technology, including in critical minerals",</v>
      </c>
    </row>
    <row r="291" spans="1:2" x14ac:dyDescent="0.3">
      <c r="A291" s="114" t="s">
        <v>498</v>
      </c>
      <c r="B291" s="58" t="str">
        <f t="shared" si="23"/>
        <v>"Operationalize the plan to plant two billion incremental trees over the next 10 years",</v>
      </c>
    </row>
    <row r="292" spans="1:2" x14ac:dyDescent="0.3">
      <c r="A292" s="114" t="s">
        <v>499</v>
      </c>
      <c r="B292" s="58" t="str">
        <f t="shared" si="23"/>
        <v>"Help cities expand and diversify their urban forests. You will both also invest in protecting trees from infestations and, when ecologically appropriate, help rebuild our forests after a wildfire",</v>
      </c>
    </row>
    <row r="293" spans="1:2" x14ac:dyDescent="0.3">
      <c r="A293" s="114" t="s">
        <v>500</v>
      </c>
      <c r="B293" s="58" t="str">
        <f t="shared" si="23"/>
        <v>"Support research and provide funding so that municipalities have access to domestic sources of climate-resilient and genetically diverse trees that will increase the resilience of our urban forests",</v>
      </c>
    </row>
    <row r="294" spans="1:2" x14ac:dyDescent="0.3">
      <c r="A294" s="114" t="s">
        <v>501</v>
      </c>
      <c r="B294" s="58" t="str">
        <f t="shared" si="23"/>
        <v>"Advance legislation to support the future and livelihood of workers and their communities",</v>
      </c>
    </row>
    <row r="295" spans="1:2" x14ac:dyDescent="0.3">
      <c r="A295" s="114" t="s">
        <v>502</v>
      </c>
      <c r="B295" s="58" t="str">
        <f t="shared" si="23"/>
        <v>"Operationalize a plan to help Canadians make their homes more energy efficient and climate resilient",</v>
      </c>
    </row>
    <row r="296" spans="1:2" x14ac:dyDescent="0.3">
      <c r="A296" s="114" t="s">
        <v>503</v>
      </c>
      <c r="B296" s="58" t="str">
        <f t="shared" si="23"/>
        <v>"Make Energy Star certification mandatory for all new home appliances starting in 2022",</v>
      </c>
    </row>
    <row r="297" spans="1:2" x14ac:dyDescent="0.3">
      <c r="A297" s="114" t="s">
        <v>504</v>
      </c>
      <c r="B297" s="58" t="str">
        <f t="shared" si="23"/>
        <v>"Launch a national competition to create four long-term funds to help attract private capital that can be used for deep retrofits of large buildings such as office towers",</v>
      </c>
    </row>
    <row r="298" spans="1:2" x14ac:dyDescent="0.3">
      <c r="A298" s="114" t="s">
        <v>505</v>
      </c>
      <c r="B298" s="58" t="str">
        <f t="shared" si="23"/>
        <v>"Install up to 5,000 additional charging stations along the Trans-Canada Highway and other major road networks and in Canada’s urban and rural areas",</v>
      </c>
    </row>
    <row r="299" spans="1:2" x14ac:dyDescent="0.3">
      <c r="A299" s="114" t="s">
        <v>506</v>
      </c>
      <c r="B299" s="58" t="str">
        <f t="shared" si="23"/>
        <v>"Advance the electrification of Canadian industries through new, zero-carbon clean electricity generation and transmission systems and grid modernization",</v>
      </c>
    </row>
    <row r="300" spans="1:2" x14ac:dyDescent="0.3">
      <c r="A300" s="114" t="s">
        <v>507</v>
      </c>
      <c r="B300" s="58" t="str">
        <f t="shared" si="23"/>
        <v>"support the transition of Indigenous communities from reliance on diesel-fueled power to clean, renewable and reliable energy by 2030",</v>
      </c>
    </row>
    <row r="301" spans="1:2" x14ac:dyDescent="0.3">
      <c r="A301" s="114" t="s">
        <v>508</v>
      </c>
      <c r="B301" s="58" t="str">
        <f t="shared" si="23"/>
        <v>"Ensure the efficient and effective implementation of the Canadian Energy Regulator Act",</v>
      </c>
    </row>
    <row r="302" spans="1:2" x14ac:dyDescent="0.3">
      <c r="A302" s="114" t="s">
        <v>509</v>
      </c>
      <c r="B302" s="58" t="str">
        <f t="shared" si="23"/>
        <v>"Develop a new national benefits-sharing framework for major resource projects on Indigenous territory",</v>
      </c>
    </row>
    <row r="303" spans="1:2" x14ac:dyDescent="0.3">
      <c r="A303" s="114" t="s">
        <v>510</v>
      </c>
      <c r="B303" s="58" t="str">
        <f t="shared" si="23"/>
        <v>"Complete all flood maps in Canada",</v>
      </c>
    </row>
    <row r="304" spans="1:2" s="80" customFormat="1" x14ac:dyDescent="0.3">
      <c r="A304" s="114" t="s">
        <v>511</v>
      </c>
      <c r="B304" s="58" t="str">
        <f t="shared" si="23"/>
        <v>"Monitor and identify any additional assistance the Polar Continental Shelf Program may require to respond to growing demand",</v>
      </c>
    </row>
    <row r="305" spans="1:1" x14ac:dyDescent="0.3">
      <c r="A305" s="114" t="s">
        <v>192</v>
      </c>
    </row>
  </sheetData>
  <sheetProtection selectLockedCells="1" selectUnlockedCells="1"/>
  <mergeCells count="1">
    <mergeCell ref="A1:I1"/>
  </mergeCells>
  <pageMargins left="0.7" right="0.7" top="0.75" bottom="0.75" header="0.3" footer="0.3"/>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27</vt:i4>
      </vt:variant>
    </vt:vector>
  </HeadingPairs>
  <TitlesOfParts>
    <vt:vector size="38" baseType="lpstr">
      <vt:lpstr>1. Results Dashboard</vt:lpstr>
      <vt:lpstr>P1 - 2. Tombstone Data</vt:lpstr>
      <vt:lpstr>P2 - 3. Indicators &amp; Results</vt:lpstr>
      <vt:lpstr>4. Experimentation</vt:lpstr>
      <vt:lpstr>Evaluation</vt:lpstr>
      <vt:lpstr>P1 -5. Supp. Information Tables</vt:lpstr>
      <vt:lpstr>6. GBA+</vt:lpstr>
      <vt:lpstr>Mid-Year Update &amp;Target Setting</vt:lpstr>
      <vt:lpstr>Placeholder - Risk</vt:lpstr>
      <vt:lpstr>Change log</vt:lpstr>
      <vt:lpstr>Drop Downs</vt:lpstr>
      <vt:lpstr>Branch</vt:lpstr>
      <vt:lpstr>Core_Responsibility</vt:lpstr>
      <vt:lpstr>CoreResponsibility1</vt:lpstr>
      <vt:lpstr>CoreResponsibility1x</vt:lpstr>
      <vt:lpstr>CoreResponsibility2</vt:lpstr>
      <vt:lpstr>CoreResponsibility2x</vt:lpstr>
      <vt:lpstr>CoreResponsibility3</vt:lpstr>
      <vt:lpstr>CoreResponsibility3x</vt:lpstr>
      <vt:lpstr>CoreResponsibility4</vt:lpstr>
      <vt:lpstr>CoreResponsibility5</vt:lpstr>
      <vt:lpstr>Data_Type</vt:lpstr>
      <vt:lpstr>Frequency</vt:lpstr>
      <vt:lpstr>GocOutcomeAreas</vt:lpstr>
      <vt:lpstr>Horizontal</vt:lpstr>
      <vt:lpstr>Intervention_Type</vt:lpstr>
      <vt:lpstr>Mandate_Letter</vt:lpstr>
      <vt:lpstr>'4. Experimentation'!Print_Area</vt:lpstr>
      <vt:lpstr>'6. GBA+'!Print_Area</vt:lpstr>
      <vt:lpstr>'Change log'!Print_Area</vt:lpstr>
      <vt:lpstr>Evaluation!Print_Area</vt:lpstr>
      <vt:lpstr>'Mid-Year Update &amp;Target Setting'!Print_Area</vt:lpstr>
      <vt:lpstr>'P1 - 2. Tombstone Data'!Print_Area</vt:lpstr>
      <vt:lpstr>'P1 -5. Supp. Information Tables'!Print_Area</vt:lpstr>
      <vt:lpstr>'P2 - 3. Indicators &amp; Results'!Print_Area</vt:lpstr>
      <vt:lpstr>'P2 - 3. Indicators &amp; Results'!Print_Titles</vt:lpstr>
      <vt:lpstr>Target_Groups</vt:lpstr>
      <vt:lpstr>TB_SKHPI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LeBlanc</dc:creator>
  <cp:lastModifiedBy>Bader, Nabeel</cp:lastModifiedBy>
  <cp:lastPrinted>2020-03-03T13:56:28Z</cp:lastPrinted>
  <dcterms:created xsi:type="dcterms:W3CDTF">2016-07-11T17:15:08Z</dcterms:created>
  <dcterms:modified xsi:type="dcterms:W3CDTF">2021-01-15T20:42:28Z</dcterms:modified>
</cp:coreProperties>
</file>